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https://d.docs.live.net/44ab1370a64b2221/github/hl7.eu.fhir.xeh-onlyLab/src-models/"/>
    </mc:Choice>
  </mc:AlternateContent>
  <xr:revisionPtr revIDLastSave="252" documentId="13_ncr:1_{1E64F011-1A61-4714-8580-218D34B354C1}" xr6:coauthVersionLast="47" xr6:coauthVersionMax="47" xr10:uidLastSave="{175E853D-3A7F-4ACA-B19F-ED501B21303D}"/>
  <bookViews>
    <workbookView xWindow="-90" yWindow="-21710" windowWidth="38620" windowHeight="21100" tabRatio="819" activeTab="3" xr2:uid="{82F0A5E9-86C8-45A2-AB20-6CF6AA2FD42B}"/>
  </bookViews>
  <sheets>
    <sheet name="Header" sheetId="106" r:id="rId1"/>
    <sheet name="Body" sheetId="107" r:id="rId2"/>
    <sheet name="Report" sheetId="108" r:id="rId3"/>
    <sheet name="Report-Map-1" sheetId="109" r:id="rId4"/>
    <sheet name="Report-fsh" sheetId="110" r:id="rId5"/>
    <sheet name="Subj" sheetId="12" r:id="rId6"/>
    <sheet name="Subj-Map-1" sheetId="33" r:id="rId7"/>
    <sheet name="Subj-fsh" sheetId="73" r:id="rId8"/>
    <sheet name="Payment" sheetId="111" r:id="rId9"/>
    <sheet name="Payment-Map-1" sheetId="112" r:id="rId10"/>
    <sheet name="Payment-fsh" sheetId="113"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09" l="1"/>
  <c r="B22" i="109"/>
  <c r="B23" i="109"/>
  <c r="C14" i="110"/>
  <c r="C15" i="110"/>
  <c r="C16" i="110"/>
  <c r="C17" i="110"/>
  <c r="C18" i="110"/>
  <c r="C19" i="110"/>
  <c r="C20" i="110"/>
  <c r="C21" i="110"/>
  <c r="C22" i="110"/>
  <c r="I18" i="108"/>
  <c r="I19" i="108"/>
  <c r="I20" i="108"/>
  <c r="I21" i="108"/>
  <c r="C206" i="113"/>
  <c r="C205" i="113"/>
  <c r="C204" i="113"/>
  <c r="C203" i="113"/>
  <c r="C202" i="113"/>
  <c r="C201" i="113"/>
  <c r="C200" i="113"/>
  <c r="C199" i="113"/>
  <c r="C198" i="113"/>
  <c r="C197" i="113"/>
  <c r="C196" i="113"/>
  <c r="C195" i="113"/>
  <c r="C194" i="113"/>
  <c r="C193" i="113"/>
  <c r="C192" i="113"/>
  <c r="C191" i="113"/>
  <c r="C190" i="113"/>
  <c r="C189" i="113"/>
  <c r="C188" i="113"/>
  <c r="C187" i="113"/>
  <c r="C186" i="113"/>
  <c r="C185" i="113"/>
  <c r="C184" i="113"/>
  <c r="C183" i="113"/>
  <c r="C182" i="113"/>
  <c r="C181" i="113"/>
  <c r="C180" i="113"/>
  <c r="C179" i="113"/>
  <c r="C178" i="113"/>
  <c r="C177" i="113"/>
  <c r="C176" i="113"/>
  <c r="C175" i="113"/>
  <c r="C174" i="113"/>
  <c r="C173" i="113"/>
  <c r="C172" i="113"/>
  <c r="C171" i="113"/>
  <c r="C170" i="113"/>
  <c r="C169" i="113"/>
  <c r="C168" i="113"/>
  <c r="C167" i="113"/>
  <c r="C166" i="113"/>
  <c r="C165" i="113"/>
  <c r="C164" i="113"/>
  <c r="C163" i="113"/>
  <c r="C162" i="113"/>
  <c r="C161" i="113"/>
  <c r="C160" i="113"/>
  <c r="C159" i="113"/>
  <c r="C158" i="113"/>
  <c r="C157" i="113"/>
  <c r="C156" i="113"/>
  <c r="C155" i="113"/>
  <c r="C154" i="113"/>
  <c r="C153" i="113"/>
  <c r="C152" i="113"/>
  <c r="C151" i="113"/>
  <c r="C150" i="113"/>
  <c r="C149" i="113"/>
  <c r="C148" i="113"/>
  <c r="C147" i="113"/>
  <c r="C146" i="113"/>
  <c r="C145" i="113"/>
  <c r="C144" i="113"/>
  <c r="C143" i="113"/>
  <c r="C142" i="113"/>
  <c r="C141" i="113"/>
  <c r="C140" i="113"/>
  <c r="C139" i="113"/>
  <c r="C138" i="113"/>
  <c r="C137" i="113"/>
  <c r="C136" i="113"/>
  <c r="C135" i="113"/>
  <c r="C134" i="113"/>
  <c r="C133" i="113"/>
  <c r="C132" i="113"/>
  <c r="C131" i="113"/>
  <c r="C130" i="113"/>
  <c r="C129" i="113"/>
  <c r="C128" i="113"/>
  <c r="C127" i="113"/>
  <c r="C126" i="113"/>
  <c r="C125" i="113"/>
  <c r="C124" i="113"/>
  <c r="C123" i="113"/>
  <c r="C122" i="113"/>
  <c r="C121" i="113"/>
  <c r="C120" i="113"/>
  <c r="C119" i="113"/>
  <c r="C118" i="113"/>
  <c r="C117" i="113"/>
  <c r="C116" i="113"/>
  <c r="C115" i="113"/>
  <c r="C114" i="113"/>
  <c r="C113" i="113"/>
  <c r="C112" i="113"/>
  <c r="C49" i="113"/>
  <c r="C34" i="113"/>
  <c r="C31" i="113"/>
  <c r="C30" i="113"/>
  <c r="C17" i="113"/>
  <c r="C14" i="113"/>
  <c r="C10" i="113"/>
  <c r="C9" i="113"/>
  <c r="C6" i="113"/>
  <c r="C2" i="113"/>
  <c r="C1" i="113"/>
  <c r="B18" i="112"/>
  <c r="E18" i="112" s="1"/>
  <c r="C48" i="113" s="1"/>
  <c r="E17" i="112"/>
  <c r="C47" i="113" s="1"/>
  <c r="B17" i="112"/>
  <c r="B16" i="112"/>
  <c r="E16" i="112" s="1"/>
  <c r="C46" i="113" s="1"/>
  <c r="E15" i="112"/>
  <c r="C45" i="113" s="1"/>
  <c r="B15" i="112"/>
  <c r="B14" i="112"/>
  <c r="E14" i="112" s="1"/>
  <c r="C44" i="113" s="1"/>
  <c r="E13" i="112"/>
  <c r="C43" i="113" s="1"/>
  <c r="B13" i="112"/>
  <c r="B12" i="112"/>
  <c r="E12" i="112" s="1"/>
  <c r="C42" i="113" s="1"/>
  <c r="E11" i="112"/>
  <c r="C41" i="113" s="1"/>
  <c r="B11" i="112"/>
  <c r="B10" i="112"/>
  <c r="E10" i="112" s="1"/>
  <c r="C40" i="113" s="1"/>
  <c r="E9" i="112"/>
  <c r="C39" i="113" s="1"/>
  <c r="B9" i="112"/>
  <c r="E8" i="112"/>
  <c r="C37" i="113" s="1"/>
  <c r="C7" i="112"/>
  <c r="E7" i="112" s="1"/>
  <c r="C36" i="113" s="1"/>
  <c r="E6" i="112"/>
  <c r="C35" i="113" s="1"/>
  <c r="E5" i="112"/>
  <c r="E4" i="112"/>
  <c r="C33" i="113" s="1"/>
  <c r="E3" i="112"/>
  <c r="C32" i="113" s="1"/>
  <c r="I33" i="111"/>
  <c r="B33" i="111"/>
  <c r="I32" i="111"/>
  <c r="B32" i="111"/>
  <c r="I31" i="111"/>
  <c r="B31" i="111"/>
  <c r="I30" i="111"/>
  <c r="B30" i="111"/>
  <c r="I29" i="111"/>
  <c r="B29" i="111"/>
  <c r="I28" i="111"/>
  <c r="B28" i="111"/>
  <c r="I27" i="111"/>
  <c r="B27" i="111"/>
  <c r="I26" i="111"/>
  <c r="B26" i="111"/>
  <c r="I25" i="111"/>
  <c r="B25" i="111"/>
  <c r="I24" i="111"/>
  <c r="B24" i="111"/>
  <c r="B22" i="111"/>
  <c r="B21" i="111"/>
  <c r="I16" i="111"/>
  <c r="C16" i="113" s="1"/>
  <c r="I15" i="111"/>
  <c r="C15" i="113" s="1"/>
  <c r="I14" i="111"/>
  <c r="I13" i="111"/>
  <c r="C13" i="113" s="1"/>
  <c r="I12" i="111"/>
  <c r="C12" i="113" s="1"/>
  <c r="I11" i="111"/>
  <c r="C11" i="113" s="1"/>
  <c r="I10" i="111"/>
  <c r="I9" i="111"/>
  <c r="I8" i="111"/>
  <c r="C8" i="113" s="1"/>
  <c r="I7" i="111"/>
  <c r="C7" i="113" s="1"/>
  <c r="I6" i="111"/>
  <c r="I5" i="111"/>
  <c r="C5" i="113" s="1"/>
  <c r="I4" i="111"/>
  <c r="C4" i="113" s="1"/>
  <c r="I3" i="111"/>
  <c r="C3" i="113" s="1"/>
  <c r="C41" i="73"/>
  <c r="C42" i="73"/>
  <c r="C43" i="73"/>
  <c r="C44" i="73"/>
  <c r="C45" i="73"/>
  <c r="C46" i="73"/>
  <c r="C47" i="73"/>
  <c r="C48" i="73"/>
  <c r="C49" i="73"/>
  <c r="C40" i="73"/>
  <c r="C17" i="73"/>
  <c r="B12" i="33"/>
  <c r="B13" i="33"/>
  <c r="B14" i="33"/>
  <c r="B15" i="33"/>
  <c r="B16" i="33"/>
  <c r="B17" i="33"/>
  <c r="E17" i="33" s="1"/>
  <c r="B18" i="33"/>
  <c r="E18" i="33" s="1"/>
  <c r="I9" i="12"/>
  <c r="C9" i="73" s="1"/>
  <c r="I10" i="12"/>
  <c r="C10" i="73" s="1"/>
  <c r="I11" i="12"/>
  <c r="C11" i="73" s="1"/>
  <c r="I12" i="12"/>
  <c r="C12" i="73" s="1"/>
  <c r="I13" i="12"/>
  <c r="C13" i="73" s="1"/>
  <c r="I14" i="12"/>
  <c r="C14" i="73" s="1"/>
  <c r="I15" i="12"/>
  <c r="C15" i="73" s="1"/>
  <c r="I16" i="12"/>
  <c r="C16" i="73" s="1"/>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C51" i="110"/>
  <c r="B19" i="109"/>
  <c r="E19" i="109" s="1"/>
  <c r="C49" i="110" s="1"/>
  <c r="B20" i="109"/>
  <c r="E20" i="109" s="1"/>
  <c r="C50" i="110" s="1"/>
  <c r="B12" i="109"/>
  <c r="E12" i="109" s="1"/>
  <c r="C42" i="110" s="1"/>
  <c r="B13" i="109"/>
  <c r="E13" i="109" s="1"/>
  <c r="C43" i="110" s="1"/>
  <c r="B14" i="109"/>
  <c r="E14" i="109" s="1"/>
  <c r="C44" i="110" s="1"/>
  <c r="B15" i="109"/>
  <c r="E15" i="109" s="1"/>
  <c r="C45" i="110" s="1"/>
  <c r="B16" i="109"/>
  <c r="E16" i="109" s="1"/>
  <c r="C46" i="110" s="1"/>
  <c r="B17" i="109"/>
  <c r="E17" i="109" s="1"/>
  <c r="C47" i="110" s="1"/>
  <c r="B18" i="109"/>
  <c r="E18" i="109" s="1"/>
  <c r="C48" i="110" s="1"/>
  <c r="I9" i="108"/>
  <c r="C9" i="110" s="1"/>
  <c r="I10" i="108"/>
  <c r="C10" i="110" s="1"/>
  <c r="I11" i="108"/>
  <c r="C11" i="110" s="1"/>
  <c r="I12" i="108"/>
  <c r="C12" i="110" s="1"/>
  <c r="I13" i="108"/>
  <c r="C13" i="110" s="1"/>
  <c r="I14" i="108"/>
  <c r="I15" i="108"/>
  <c r="I16" i="108"/>
  <c r="I17" i="108"/>
  <c r="C31" i="110"/>
  <c r="C30" i="110"/>
  <c r="C2" i="110"/>
  <c r="C1" i="110"/>
  <c r="B11" i="109"/>
  <c r="E11" i="109" s="1"/>
  <c r="C41" i="110" s="1"/>
  <c r="B10" i="109"/>
  <c r="E10" i="109" s="1"/>
  <c r="C40" i="110" s="1"/>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E12" i="33" l="1"/>
  <c r="E16" i="33"/>
  <c r="E14" i="33" l="1"/>
  <c r="C123" i="73" l="1"/>
  <c r="C123" i="110"/>
  <c r="C133" i="73"/>
  <c r="C133" i="110"/>
  <c r="C167" i="73"/>
  <c r="C167" i="110"/>
  <c r="C174" i="73"/>
  <c r="C174" i="110"/>
  <c r="C191" i="73"/>
  <c r="C191" i="110"/>
  <c r="C139" i="73"/>
  <c r="C139" i="110"/>
  <c r="C192" i="73"/>
  <c r="C192" i="110"/>
  <c r="C127" i="73"/>
  <c r="C127" i="110"/>
  <c r="C135" i="73"/>
  <c r="C135" i="110"/>
  <c r="C151" i="73"/>
  <c r="C151" i="110"/>
  <c r="C199" i="73"/>
  <c r="C199" i="110"/>
  <c r="C115" i="73"/>
  <c r="C115" i="110"/>
  <c r="C142" i="73"/>
  <c r="C142" i="110"/>
  <c r="C136" i="73"/>
  <c r="C136" i="110"/>
  <c r="C159" i="73"/>
  <c r="C159" i="110"/>
  <c r="C181" i="73"/>
  <c r="C181" i="110"/>
  <c r="C175" i="73"/>
  <c r="C175" i="110"/>
  <c r="C128" i="73"/>
  <c r="C128" i="110"/>
  <c r="C138" i="73"/>
  <c r="C138" i="110"/>
  <c r="C160" i="73"/>
  <c r="C160" i="110"/>
  <c r="C165" i="73"/>
  <c r="C165" i="110"/>
  <c r="C168" i="73"/>
  <c r="C168" i="110"/>
  <c r="C118" i="73"/>
  <c r="C118" i="110"/>
  <c r="C121" i="73"/>
  <c r="C121" i="110"/>
  <c r="C176" i="73"/>
  <c r="C176" i="110"/>
  <c r="C183" i="73"/>
  <c r="C183" i="110"/>
  <c r="C206" i="73"/>
  <c r="C206" i="110"/>
  <c r="C129" i="73"/>
  <c r="C129" i="110"/>
  <c r="C124" i="73"/>
  <c r="C124" i="110"/>
  <c r="C112" i="73"/>
  <c r="C112" i="110"/>
  <c r="C130" i="73"/>
  <c r="C130" i="110"/>
  <c r="C137" i="73"/>
  <c r="C137" i="110"/>
  <c r="C184" i="73"/>
  <c r="C184" i="110"/>
  <c r="C190" i="73"/>
  <c r="C190" i="110"/>
  <c r="C143" i="73" l="1"/>
  <c r="C143" i="110"/>
  <c r="C179" i="73"/>
  <c r="C179" i="110"/>
  <c r="C141" i="73"/>
  <c r="C141" i="110"/>
  <c r="C117" i="73"/>
  <c r="C117" i="110"/>
  <c r="C144" i="73"/>
  <c r="C144" i="110"/>
  <c r="C197" i="73"/>
  <c r="C197" i="110"/>
  <c r="C187" i="73"/>
  <c r="C187" i="110"/>
  <c r="C198" i="73"/>
  <c r="C198" i="110"/>
  <c r="C150" i="73"/>
  <c r="C150" i="110"/>
  <c r="C145" i="73"/>
  <c r="C145" i="110"/>
  <c r="C125" i="73"/>
  <c r="C125" i="110"/>
  <c r="C203" i="73"/>
  <c r="C203" i="110"/>
  <c r="C126" i="73"/>
  <c r="C126" i="110"/>
  <c r="C171" i="73"/>
  <c r="C171" i="110"/>
  <c r="C189" i="73"/>
  <c r="C189" i="110"/>
  <c r="C205" i="73"/>
  <c r="C205" i="110"/>
  <c r="C200" i="73"/>
  <c r="C200" i="110"/>
  <c r="C156" i="73"/>
  <c r="C156" i="110"/>
  <c r="C164" i="73"/>
  <c r="C164" i="110"/>
  <c r="C188" i="73"/>
  <c r="C188" i="110"/>
  <c r="C119" i="73"/>
  <c r="C119" i="110"/>
  <c r="C178" i="73"/>
  <c r="C178" i="110"/>
  <c r="C186" i="73"/>
  <c r="C186" i="110"/>
  <c r="C185" i="73"/>
  <c r="C185" i="110"/>
  <c r="C162" i="73"/>
  <c r="C162" i="110"/>
  <c r="C195" i="73"/>
  <c r="C195" i="110"/>
  <c r="C116" i="73"/>
  <c r="C116" i="110"/>
  <c r="C173" i="73"/>
  <c r="C173" i="110"/>
  <c r="C131" i="73"/>
  <c r="C131" i="110"/>
  <c r="C157" i="73"/>
  <c r="C157" i="110"/>
  <c r="C147" i="73"/>
  <c r="C147" i="110"/>
  <c r="C149" i="73"/>
  <c r="C149" i="110"/>
  <c r="C152" i="73"/>
  <c r="C152" i="110"/>
  <c r="C154" i="73"/>
  <c r="C154" i="110"/>
  <c r="C153" i="73"/>
  <c r="C153" i="110"/>
  <c r="C113" i="73"/>
  <c r="C113" i="110"/>
  <c r="C177" i="73"/>
  <c r="C177" i="110"/>
  <c r="C122" i="73"/>
  <c r="C122" i="110"/>
  <c r="C194" i="73"/>
  <c r="C194" i="110"/>
  <c r="C161" i="73"/>
  <c r="C161" i="110"/>
  <c r="C180" i="73"/>
  <c r="C180" i="110"/>
  <c r="C163" i="73"/>
  <c r="C163" i="110"/>
  <c r="C204" i="73"/>
  <c r="C204" i="110"/>
  <c r="C193" i="73"/>
  <c r="C193" i="110"/>
  <c r="C182" i="73"/>
  <c r="C182" i="110"/>
  <c r="C148" i="73"/>
  <c r="C148" i="110"/>
  <c r="C114" i="73"/>
  <c r="C114" i="110"/>
  <c r="C158" i="73"/>
  <c r="C158" i="110"/>
  <c r="C169" i="73"/>
  <c r="C169" i="110"/>
  <c r="C134" i="73"/>
  <c r="C134" i="110"/>
  <c r="C170" i="73"/>
  <c r="C170" i="110"/>
  <c r="C166" i="73"/>
  <c r="C166" i="110"/>
  <c r="C146" i="73"/>
  <c r="C146" i="110"/>
  <c r="C132" i="73"/>
  <c r="C132" i="110"/>
  <c r="C202" i="73"/>
  <c r="C202" i="110"/>
  <c r="C140" i="73"/>
  <c r="C140" i="110"/>
  <c r="C201" i="73"/>
  <c r="C201" i="110"/>
  <c r="C120" i="73"/>
  <c r="C120" i="110"/>
  <c r="C172" i="73"/>
  <c r="C172" i="110"/>
  <c r="C155" i="73"/>
  <c r="C155" i="110"/>
  <c r="C196" i="73"/>
  <c r="C196" i="110"/>
</calcChain>
</file>

<file path=xl/sharedStrings.xml><?xml version="1.0" encoding="utf-8"?>
<sst xmlns="http://schemas.openxmlformats.org/spreadsheetml/2006/main" count="581" uniqueCount="355">
  <si>
    <t>Identifier</t>
  </si>
  <si>
    <t>CodeableConcept</t>
  </si>
  <si>
    <t>dateTime</t>
  </si>
  <si>
    <t>string</t>
  </si>
  <si>
    <t>BackboneElement</t>
  </si>
  <si>
    <t>Description</t>
  </si>
  <si>
    <t xml:space="preserve">Data Element </t>
  </si>
  <si>
    <t>Data element description</t>
  </si>
  <si>
    <t>min</t>
  </si>
  <si>
    <t>max</t>
  </si>
  <si>
    <t>dataType</t>
  </si>
  <si>
    <t>*</t>
  </si>
  <si>
    <t>Subject</t>
  </si>
  <si>
    <t>Title</t>
  </si>
  <si>
    <t>Subject of care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</si>
  <si>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</si>
  <si>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</si>
  <si>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</si>
  <si>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</si>
  <si>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</si>
  <si>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</si>
  <si>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</si>
  <si>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</si>
  <si>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</si>
  <si>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</si>
  <si>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</si>
  <si>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</si>
  <si>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</si>
  <si>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</si>
  <si>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</si>
  <si>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</si>
  <si>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</si>
  <si>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</si>
  <si>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</si>
  <si>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</si>
  <si>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</si>
  <si>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</si>
  <si>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Idea4RC Subject model to FHIR R4 Map</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</si>
  <si>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</si>
  <si>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</si>
  <si>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</si>
  <si>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</si>
  <si>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</si>
  <si>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</si>
  <si>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</si>
  <si>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</si>
  <si>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</si>
  <si>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</si>
  <si>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</si>
  <si>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</si>
  <si>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</si>
  <si>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</si>
  <si>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</si>
  <si>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</si>
  <si>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</si>
  <si>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</si>
  <si>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</si>
  <si>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</si>
  <si>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</si>
  <si>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</si>
  <si>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</si>
  <si>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</si>
  <si>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</si>
  <si>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</si>
  <si>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</si>
  <si>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</si>
  <si>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</si>
  <si>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</si>
  <si>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</si>
  <si>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</si>
  <si>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</si>
  <si>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</si>
  <si>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</si>
  <si>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</si>
  <si>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</si>
  <si>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</si>
  <si>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</si>
  <si>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</si>
  <si>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</si>
  <si>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</si>
  <si>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</si>
  <si>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</si>
  <si>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</si>
  <si>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</si>
  <si>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</si>
  <si>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</si>
  <si>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</si>
  <si>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</si>
  <si>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</si>
  <si>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</si>
  <si>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</si>
  <si>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</si>
  <si>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</si>
  <si>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</si>
  <si>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</si>
  <si>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</si>
  <si>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</si>
  <si>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</si>
  <si>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</si>
  <si>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</si>
  <si>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</si>
  <si>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</si>
  <si>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</si>
  <si>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</si>
  <si>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</si>
  <si>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</si>
  <si>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</si>
  <si>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</si>
  <si>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</si>
  <si>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</si>
  <si>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</si>
  <si>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</si>
  <si>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</si>
  <si>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</si>
  <si>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</si>
  <si>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</si>
  <si>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</si>
  <si>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</si>
  <si>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</si>
  <si>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</si>
  <si>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</si>
  <si>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</si>
  <si>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</si>
  <si>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</si>
  <si>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</si>
  <si>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</si>
  <si>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</si>
  <si>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</si>
  <si>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</si>
  <si>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</si>
  <si>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</si>
  <si>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</si>
  <si>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</si>
  <si>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</si>
  <si>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</si>
  <si>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</si>
  <si>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</si>
  <si>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</si>
  <si>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</si>
  <si>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</si>
  <si>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</si>
  <si>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</si>
  <si>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</si>
  <si>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</si>
  <si>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</si>
  <si>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</si>
  <si>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</si>
  <si>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</si>
  <si>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</si>
  <si>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</si>
  <si>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</si>
  <si>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</si>
  <si>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</si>
  <si>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</si>
  <si>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</si>
  <si>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</si>
  <si>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</si>
  <si>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</si>
  <si>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</si>
  <si>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</si>
  <si>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</si>
  <si>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</si>
  <si>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</si>
  <si>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</si>
  <si>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</si>
  <si>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</si>
  <si>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</si>
  <si>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</si>
  <si>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</si>
  <si>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</si>
  <si>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</si>
  <si>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</si>
  <si>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</si>
  <si>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</si>
  <si>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</si>
  <si>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</si>
  <si>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</si>
  <si>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</si>
  <si>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</si>
  <si>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</si>
  <si>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</si>
  <si>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</si>
  <si>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</si>
  <si>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</si>
  <si>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</si>
  <si>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</si>
  <si>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</si>
  <si>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</si>
  <si>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</si>
  <si>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</si>
  <si>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</si>
  <si>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</si>
  <si>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</si>
  <si>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</si>
  <si>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</si>
  <si>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</si>
  <si>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</si>
  <si>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</si>
  <si>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</si>
  <si>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</si>
  <si>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</si>
  <si>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</si>
  <si>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</si>
  <si>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</si>
  <si>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</si>
  <si>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</si>
  <si>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</si>
  <si>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</si>
  <si>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</si>
  <si>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</si>
  <si>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</si>
  <si>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</si>
  <si>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</si>
  <si>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</si>
  <si>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</si>
  <si>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</si>
  <si>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</si>
  <si>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</si>
  <si>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</si>
  <si>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</si>
  <si>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</si>
  <si>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</si>
  <si>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</si>
  <si>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</si>
  <si>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</si>
  <si>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</si>
  <si>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</si>
  <si>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</si>
  <si>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</si>
  <si>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</si>
  <si>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</si>
  <si>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</si>
  <si>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</si>
  <si>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</si>
  <si>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</si>
  <si>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</si>
  <si>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</si>
  <si>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</si>
  <si>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</si>
  <si>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</si>
  <si>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</si>
  <si>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</si>
  <si>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</si>
  <si>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</si>
  <si>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</si>
  <si>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</si>
  <si>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</si>
  <si>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</si>
  <si>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</si>
  <si>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</si>
  <si>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</si>
  <si>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</si>
  <si>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</si>
  <si>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</si>
  <si>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</si>
  <si>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</si>
  <si>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</si>
  <si>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</si>
  <si>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</si>
  <si>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</si>
  <si>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</si>
  <si>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</si>
  <si>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</si>
  <si>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</si>
  <si>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</si>
  <si>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</si>
  <si>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</si>
  <si>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</si>
  <si>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</si>
  <si>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</si>
  <si>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</si>
  <si>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header.paymentData</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</si>
  <si>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</si>
  <si>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</si>
  <si>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</si>
  <si>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</si>
  <si>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</si>
  <si>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</si>
  <si>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</si>
  <si>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</si>
  <si>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</si>
  <si>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</si>
  <si>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To be mapped</t>
  </si>
  <si>
    <t>Composition.attester</t>
  </si>
  <si>
    <t>Composition.subject</t>
  </si>
  <si>
    <t>Bundle.timestamp</t>
  </si>
  <si>
    <t>Composition.status</t>
  </si>
  <si>
    <t>Composition.title</t>
  </si>
  <si>
    <t>.extension('http://hl7.org/fhir/StructureDefinition/cqf-receivingOrganization')</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</si>
  <si>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</si>
  <si>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</si>
  <si>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</si>
  <si>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</si>
  <si>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</si>
  <si>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</si>
  <si>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</si>
  <si>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</si>
  <si>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</si>
  <si>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</si>
  <si>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</si>
  <si>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</si>
  <si>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</si>
  <si>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</si>
  <si>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</si>
  <si>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</si>
  <si>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</si>
  <si>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</si>
  <si>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</si>
  <si>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</si>
  <si>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</si>
  <si>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</si>
  <si>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</si>
  <si>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</si>
  <si>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address-telecom</t>
  </si>
  <si>
    <t>address-telecom.address</t>
  </si>
  <si>
    <t>address-telecom.telecom</t>
  </si>
  <si>
    <t xml:space="preserve"> </t>
  </si>
  <si>
    <t>A.1.1.1 Familyname/surname</t>
  </si>
  <si>
    <t>A.1.1 Identification of the patient/subject</t>
  </si>
  <si>
    <t xml:space="preserve">A.1.1.2 Given name </t>
  </si>
  <si>
    <t xml:space="preserve">The given name/first name of the patient (also known as forename or first name). This field can contain more than one element. </t>
  </si>
  <si>
    <t xml:space="preserve">A.1.1.3 Date of birth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</si>
  <si>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</si>
  <si>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A.1.1.4 Personal identifier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</si>
  <si>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</si>
  <si>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</si>
  <si>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 xml:space="preserve">A.1.2 Patient/subject related contact information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</si>
  <si>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</si>
  <si>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</si>
  <si>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</si>
  <si>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</si>
  <si>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</si>
  <si>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</si>
  <si>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</si>
  <si>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</si>
  <si>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</si>
  <si>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</si>
  <si>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</si>
  <si>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</si>
  <si>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</si>
  <si>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</si>
  <si>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</si>
  <si>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</si>
  <si>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</si>
  <si>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</si>
  <si>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</si>
  <si>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</si>
  <si>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</si>
  <si>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</si>
  <si>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</si>
  <si>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</si>
  <si>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</si>
  <si>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</si>
  <si>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</si>
  <si>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xml:space="preserve">Composition.section.entry.resolve(); Composition.section.section.entry.resolve()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</si>
</sst>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s>
  <fills count="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s>
  <borders count="29">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s>
  <cellStyleXfs count="3">
    <xf numFmtId="0" fontId="0" fillId="0" borderId="0"/>
    <xf numFmtId="0" fontId="2" fillId="0" borderId="0" applyNumberFormat="0" applyFill="0" applyBorder="0" applyAlignment="0" applyProtection="0"/>
    <xf numFmtId="0" fontId="6" fillId="7" borderId="0" applyNumberFormat="0" applyBorder="0" applyAlignment="0" applyProtection="0"/>
  </cellStyleXfs>
  <cellXfs count="83">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0" xfId="0" applyBorder="1" applyAlignment="1">
      <alignment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3" borderId="1" xfId="0" applyFill="1" applyBorder="1"/>
    <xf numFmtId="0" fontId="0" fillId="0" borderId="0" xfId="0"/>
    <xf numFmtId="0" fontId="0" fillId="0" borderId="1" xfId="0" applyBorder="1"/>
    <xf numFmtId="0" fontId="3" fillId="0" borderId="0" xfId="0" applyFont="1"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0" fillId="5" borderId="1" xfId="0" applyFill="1" applyBorder="1" applyAlignment="1">
      <alignment wrapText="1"/>
    </xf>
    <xf numFmtId="0" fontId="0" fillId="0" borderId="10" xfId="0" applyBorder="1"/>
    <xf numFmtId="0" fontId="0" fillId="0" borderId="6" xfId="0" applyFill="1" applyBorder="1"/>
    <xf numFmtId="0" fontId="1" fillId="0" borderId="7" xfId="0" applyFont="1" applyFill="1" applyBorder="1"/>
    <xf numFmtId="0" fontId="0" fillId="0" borderId="11" xfId="0" applyFill="1" applyBorder="1"/>
    <xf numFmtId="0" fontId="1" fillId="0" borderId="7" xfId="0" applyFont="1" applyBorder="1"/>
    <xf numFmtId="0" fontId="1" fillId="0" borderId="12" xfId="0" applyFont="1" applyBorder="1"/>
    <xf numFmtId="0" fontId="0" fillId="0" borderId="13" xfId="0" applyFill="1"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0" fillId="0" borderId="23" xfId="0" applyFont="1" applyBorder="1" applyAlignment="1">
      <alignment horizontal="justify"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Fill="1"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Fill="1" applyBorder="1"/>
    <xf numFmtId="0" fontId="10" fillId="0" borderId="23" xfId="0" applyFont="1" applyBorder="1" applyAlignment="1">
      <alignment horizontal="justify"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1" fillId="0" borderId="4" xfId="0" applyFont="1" applyFill="1" applyBorder="1" applyAlignment="1">
      <alignment wrapText="1"/>
    </xf>
    <xf numFmtId="0" fontId="3" fillId="0" borderId="0" xfId="0" applyFont="1" applyBorder="1" applyAlignment="1">
      <alignment wrapText="1"/>
    </xf>
    <xf numFmtId="0" fontId="2" fillId="0" borderId="9" xfId="1" applyBorder="1" applyAlignment="1">
      <alignment wrapText="1"/>
    </xf>
  </cellXfs>
  <cellStyles count="3">
    <cellStyle name="Collegamento ipertestuale" xfId="1" builtinId="8"/>
    <cellStyle name="Colore 1" xfId="2" builtinId="29"/>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190500</xdr:colOff>
          <xdr:row>0</xdr:row>
          <xdr:rowOff>101600</xdr:rowOff>
        </xdr:from>
        <xdr:to>
          <xdr:col>5</xdr:col>
          <xdr:colOff>254000</xdr:colOff>
          <xdr:row>2</xdr:row>
          <xdr:rowOff>12700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500-000001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190500</xdr:colOff>
          <xdr:row>0</xdr:row>
          <xdr:rowOff>101600</xdr:rowOff>
        </xdr:from>
        <xdr:to>
          <xdr:col>5</xdr:col>
          <xdr:colOff>254000</xdr:colOff>
          <xdr:row>2</xdr:row>
          <xdr:rowOff>12700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190500</xdr:colOff>
          <xdr:row>0</xdr:row>
          <xdr:rowOff>101600</xdr:rowOff>
        </xdr:from>
        <xdr:to>
          <xdr:col>5</xdr:col>
          <xdr:colOff>254000</xdr:colOff>
          <xdr:row>2</xdr:row>
          <xdr:rowOff>12700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AA175E55-D28E-47FF-844C-A33B96A032E6}"/>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election activeCell="B4" sqref="B4:E4"/>
    </sheetView>
  </sheetViews>
  <sheetFormatPr defaultRowHeight="14.75" x14ac:dyDescent="0.75"/>
  <cols>
    <col min="1" max="1" width="8.7265625" style="17"/>
    <col min="2" max="2" width="7.5" style="17" bestFit="1" customWidth="1"/>
    <col min="3" max="3" width="27.86328125" style="17" customWidth="1"/>
    <col min="4" max="4" width="57.953125" style="17" customWidth="1"/>
    <col min="5" max="5" width="24.6328125" style="17" customWidth="1"/>
    <col min="6" max="16384" width="8.7265625" style="17"/>
  </cols>
  <sheetData>
    <row r="2" spans="2:5" ht="15.5" thickBot="1" x14ac:dyDescent="0.9"/>
    <row r="3" spans="2:5" ht="16.75" thickBot="1" x14ac:dyDescent="0.9">
      <c r="B3" s="66" t="s">
        <v>41</v>
      </c>
      <c r="C3" s="67"/>
      <c r="D3" s="45" t="s">
        <v>42</v>
      </c>
      <c r="E3" s="45" t="s">
        <v>43</v>
      </c>
    </row>
    <row r="4" spans="2:5" ht="16.75" thickBot="1" x14ac:dyDescent="0.9">
      <c r="B4" s="68" t="s">
        <v>44</v>
      </c>
      <c r="C4" s="69"/>
      <c r="D4" s="69"/>
      <c r="E4" s="70"/>
    </row>
    <row r="5" spans="2:5" ht="16.75" thickBot="1" x14ac:dyDescent="0.9">
      <c r="B5" s="68" t="s">
        <v>45</v>
      </c>
      <c r="C5" s="69"/>
      <c r="D5" s="69"/>
      <c r="E5" s="70"/>
    </row>
    <row r="6" spans="2:5" ht="48.75" thickBot="1" x14ac:dyDescent="0.9">
      <c r="B6" s="46" t="s">
        <v>46</v>
      </c>
      <c r="C6" s="47" t="s">
        <v>47</v>
      </c>
      <c r="D6" s="47" t="s">
        <v>48</v>
      </c>
      <c r="E6" s="48"/>
    </row>
    <row r="7" spans="2:5" ht="48.75" thickBot="1" x14ac:dyDescent="0.9">
      <c r="B7" s="46" t="s">
        <v>49</v>
      </c>
      <c r="C7" s="47" t="s">
        <v>50</v>
      </c>
      <c r="D7" s="47" t="s">
        <v>51</v>
      </c>
      <c r="E7" s="48"/>
    </row>
    <row r="8" spans="2:5" ht="48.75" thickBot="1" x14ac:dyDescent="0.9">
      <c r="B8" s="46" t="s">
        <v>52</v>
      </c>
      <c r="C8" s="47" t="s">
        <v>53</v>
      </c>
      <c r="D8" s="47" t="s">
        <v>54</v>
      </c>
      <c r="E8" s="49" t="s">
        <v>55</v>
      </c>
    </row>
    <row r="9" spans="2:5" ht="48.75" thickBot="1" x14ac:dyDescent="0.9">
      <c r="B9" s="46" t="s">
        <v>56</v>
      </c>
      <c r="C9" s="47" t="s">
        <v>57</v>
      </c>
      <c r="D9" s="47" t="s">
        <v>58</v>
      </c>
      <c r="E9" s="48"/>
    </row>
    <row r="10" spans="2:5" ht="32" x14ac:dyDescent="0.75">
      <c r="B10" s="71" t="s">
        <v>59</v>
      </c>
      <c r="C10" s="71" t="s">
        <v>60</v>
      </c>
      <c r="D10" s="50" t="s">
        <v>61</v>
      </c>
      <c r="E10" s="74" t="s">
        <v>62</v>
      </c>
    </row>
    <row r="11" spans="2:5" x14ac:dyDescent="0.75">
      <c r="B11" s="72"/>
      <c r="C11" s="72"/>
      <c r="D11" s="51"/>
      <c r="E11" s="75"/>
    </row>
    <row r="12" spans="2:5" ht="32.75" thickBot="1" x14ac:dyDescent="0.9">
      <c r="B12" s="73"/>
      <c r="C12" s="73"/>
      <c r="D12" s="47" t="s">
        <v>63</v>
      </c>
      <c r="E12" s="76"/>
    </row>
    <row r="13" spans="2:5" ht="16.75" thickBot="1" x14ac:dyDescent="0.9">
      <c r="B13" s="77" t="s">
        <v>64</v>
      </c>
      <c r="C13" s="78"/>
      <c r="D13" s="78"/>
      <c r="E13" s="79"/>
    </row>
    <row r="14" spans="2:5" ht="96.75" thickBot="1" x14ac:dyDescent="0.9">
      <c r="B14" s="46" t="s">
        <v>65</v>
      </c>
      <c r="C14" s="47" t="s">
        <v>66</v>
      </c>
      <c r="D14" s="47" t="s">
        <v>67</v>
      </c>
      <c r="E14" s="49" t="s">
        <v>68</v>
      </c>
    </row>
    <row r="15" spans="2:5" ht="48.75" thickBot="1" x14ac:dyDescent="0.9">
      <c r="B15" s="46" t="s">
        <v>69</v>
      </c>
      <c r="C15" s="47" t="s">
        <v>70</v>
      </c>
      <c r="D15" s="47" t="s">
        <v>71</v>
      </c>
      <c r="E15" s="53"/>
    </row>
    <row r="16" spans="2:5" ht="16.75" thickBot="1" x14ac:dyDescent="0.9">
      <c r="B16" s="77" t="s">
        <v>72</v>
      </c>
      <c r="C16" s="78"/>
      <c r="D16" s="78"/>
      <c r="E16" s="79"/>
    </row>
    <row r="17" spans="2:5" ht="64.75" thickBot="1" x14ac:dyDescent="0.9">
      <c r="B17" s="46" t="s">
        <v>73</v>
      </c>
      <c r="C17" s="49" t="s">
        <v>74</v>
      </c>
      <c r="D17" s="47" t="s">
        <v>75</v>
      </c>
      <c r="E17" s="53"/>
    </row>
    <row r="18" spans="2:5" ht="48.75" thickBot="1" x14ac:dyDescent="0.9">
      <c r="B18" s="46" t="s">
        <v>76</v>
      </c>
      <c r="C18" s="49" t="s">
        <v>77</v>
      </c>
      <c r="D18" s="47" t="s">
        <v>78</v>
      </c>
      <c r="E18" s="53"/>
    </row>
    <row r="19" spans="2:5" ht="48.75" thickBot="1" x14ac:dyDescent="0.9">
      <c r="B19" s="46" t="s">
        <v>79</v>
      </c>
      <c r="C19" s="49" t="s">
        <v>80</v>
      </c>
      <c r="D19" s="47" t="s">
        <v>81</v>
      </c>
      <c r="E19" s="53"/>
    </row>
    <row r="20" spans="2:5" ht="64.75" thickBot="1" x14ac:dyDescent="0.9">
      <c r="B20" s="46" t="s">
        <v>82</v>
      </c>
      <c r="C20" s="49" t="s">
        <v>83</v>
      </c>
      <c r="D20" s="47" t="s">
        <v>84</v>
      </c>
      <c r="E20" s="53"/>
    </row>
    <row r="21" spans="2:5" ht="16.75" thickBot="1" x14ac:dyDescent="0.9">
      <c r="B21" s="77" t="s">
        <v>85</v>
      </c>
      <c r="C21" s="78"/>
      <c r="D21" s="78"/>
      <c r="E21" s="79"/>
    </row>
    <row r="22" spans="2:5" ht="96.75" thickBot="1" x14ac:dyDescent="0.9">
      <c r="B22" s="46" t="s">
        <v>86</v>
      </c>
      <c r="C22" s="47" t="s">
        <v>87</v>
      </c>
      <c r="D22" s="47" t="s">
        <v>88</v>
      </c>
      <c r="E22" s="53"/>
    </row>
    <row r="23" spans="2:5" ht="32.75" thickBot="1" x14ac:dyDescent="0.9">
      <c r="B23" s="46" t="s">
        <v>89</v>
      </c>
      <c r="C23" s="47" t="s">
        <v>90</v>
      </c>
      <c r="D23" s="47" t="s">
        <v>91</v>
      </c>
      <c r="E23" s="53"/>
    </row>
    <row r="24" spans="2:5" ht="16.75" thickBot="1" x14ac:dyDescent="0.9">
      <c r="B24" s="46" t="s">
        <v>92</v>
      </c>
      <c r="C24" s="47" t="s">
        <v>93</v>
      </c>
      <c r="D24" s="47" t="s">
        <v>94</v>
      </c>
      <c r="E24" s="53"/>
    </row>
    <row r="25" spans="2:5" ht="16.75" thickBot="1" x14ac:dyDescent="0.9">
      <c r="B25" s="77" t="s">
        <v>95</v>
      </c>
      <c r="C25" s="78"/>
      <c r="D25" s="78"/>
      <c r="E25" s="79"/>
    </row>
    <row r="26" spans="2:5" ht="64.75" thickBot="1" x14ac:dyDescent="0.9">
      <c r="B26" s="46" t="s">
        <v>96</v>
      </c>
      <c r="C26" s="47" t="s">
        <v>97</v>
      </c>
      <c r="D26" s="47" t="s">
        <v>98</v>
      </c>
      <c r="E26" s="53"/>
    </row>
    <row r="27" spans="2:5" ht="32.75" thickBot="1" x14ac:dyDescent="0.9">
      <c r="B27" s="46" t="s">
        <v>99</v>
      </c>
      <c r="C27" s="47" t="s">
        <v>100</v>
      </c>
      <c r="D27" s="47" t="s">
        <v>101</v>
      </c>
      <c r="E27" s="53"/>
    </row>
    <row r="28" spans="2:5" ht="16.75" thickBot="1" x14ac:dyDescent="0.9">
      <c r="B28" s="46" t="s">
        <v>102</v>
      </c>
      <c r="C28" s="47" t="s">
        <v>103</v>
      </c>
      <c r="D28" s="47" t="s">
        <v>94</v>
      </c>
      <c r="E28" s="53"/>
    </row>
    <row r="29" spans="2:5" ht="16.75" thickBot="1" x14ac:dyDescent="0.9">
      <c r="B29" s="77" t="s">
        <v>104</v>
      </c>
      <c r="C29" s="78"/>
      <c r="D29" s="78"/>
      <c r="E29" s="79"/>
    </row>
    <row r="30" spans="2:5" ht="64.75" thickBot="1" x14ac:dyDescent="0.9">
      <c r="B30" s="46" t="s">
        <v>105</v>
      </c>
      <c r="C30" s="49" t="s">
        <v>106</v>
      </c>
      <c r="D30" s="47" t="s">
        <v>107</v>
      </c>
      <c r="E30" s="53"/>
    </row>
    <row r="31" spans="2:5" ht="64.75" thickBot="1" x14ac:dyDescent="0.9">
      <c r="B31" s="46" t="s">
        <v>108</v>
      </c>
      <c r="C31" s="49" t="s">
        <v>109</v>
      </c>
      <c r="D31" s="47" t="s">
        <v>91</v>
      </c>
      <c r="E31" s="53"/>
    </row>
    <row r="32" spans="2:5" ht="32.75" thickBot="1" x14ac:dyDescent="0.9">
      <c r="B32" s="46" t="s">
        <v>110</v>
      </c>
      <c r="C32" s="49" t="s">
        <v>111</v>
      </c>
      <c r="D32" s="47" t="s">
        <v>94</v>
      </c>
      <c r="E32" s="53"/>
    </row>
    <row r="33" spans="2:5" ht="64.75" thickBot="1" x14ac:dyDescent="0.9">
      <c r="B33" s="46" t="s">
        <v>112</v>
      </c>
      <c r="C33" s="49" t="s">
        <v>113</v>
      </c>
      <c r="D33" s="47" t="s">
        <v>114</v>
      </c>
      <c r="E33" s="49" t="s">
        <v>115</v>
      </c>
    </row>
    <row r="34" spans="2:5" ht="16.75" thickBot="1" x14ac:dyDescent="0.9">
      <c r="B34" s="77" t="s">
        <v>116</v>
      </c>
      <c r="C34" s="78"/>
      <c r="D34" s="78"/>
      <c r="E34" s="79"/>
    </row>
    <row r="35" spans="2:5" ht="64.75" thickBot="1" x14ac:dyDescent="0.9">
      <c r="B35" s="46" t="s">
        <v>117</v>
      </c>
      <c r="C35" s="49" t="s">
        <v>118</v>
      </c>
      <c r="D35" s="47" t="s">
        <v>119</v>
      </c>
      <c r="E35" s="53"/>
    </row>
    <row r="36" spans="2:5" ht="16.75" thickBot="1" x14ac:dyDescent="0.9">
      <c r="B36" s="46" t="s">
        <v>120</v>
      </c>
      <c r="C36" s="49" t="s">
        <v>121</v>
      </c>
      <c r="D36" s="47" t="s">
        <v>91</v>
      </c>
      <c r="E36" s="53"/>
    </row>
    <row r="37" spans="2:5" ht="16.75" thickBot="1" x14ac:dyDescent="0.9">
      <c r="B37" s="46" t="s">
        <v>122</v>
      </c>
      <c r="C37" s="49" t="s">
        <v>123</v>
      </c>
      <c r="D37" s="47" t="s">
        <v>124</v>
      </c>
      <c r="E37" s="53"/>
    </row>
    <row r="38" spans="2:5" ht="48.75" thickBot="1" x14ac:dyDescent="0.9">
      <c r="B38" s="46" t="s">
        <v>125</v>
      </c>
      <c r="C38" s="49" t="s">
        <v>126</v>
      </c>
      <c r="D38" s="47" t="s">
        <v>127</v>
      </c>
      <c r="E38" s="49" t="s">
        <v>115</v>
      </c>
    </row>
    <row r="39" spans="2:5" ht="16.75" thickBot="1" x14ac:dyDescent="0.9">
      <c r="B39" s="77" t="s">
        <v>128</v>
      </c>
      <c r="C39" s="78"/>
      <c r="D39" s="78"/>
      <c r="E39" s="79"/>
    </row>
    <row r="40" spans="2:5" ht="32.75" thickBot="1" x14ac:dyDescent="0.9">
      <c r="B40" s="46" t="s">
        <v>129</v>
      </c>
      <c r="C40" s="47" t="s">
        <v>130</v>
      </c>
      <c r="D40" s="47" t="s">
        <v>131</v>
      </c>
      <c r="E40" s="49" t="s">
        <v>132</v>
      </c>
    </row>
    <row r="41" spans="2:5" ht="64.75" thickBot="1" x14ac:dyDescent="0.9">
      <c r="B41" s="46" t="s">
        <v>133</v>
      </c>
      <c r="C41" s="47" t="s">
        <v>134</v>
      </c>
      <c r="D41" s="47" t="s">
        <v>135</v>
      </c>
      <c r="E41" s="49" t="s">
        <v>136</v>
      </c>
    </row>
    <row r="42" spans="2:5" ht="48.75" thickBot="1" x14ac:dyDescent="0.9">
      <c r="B42" s="46" t="s">
        <v>137</v>
      </c>
      <c r="C42" s="47" t="s">
        <v>138</v>
      </c>
      <c r="D42" s="47" t="s">
        <v>139</v>
      </c>
      <c r="E42" s="49" t="s">
        <v>115</v>
      </c>
    </row>
    <row r="43" spans="2:5" ht="32.75" thickBot="1" x14ac:dyDescent="0.9">
      <c r="B43" s="46" t="s">
        <v>140</v>
      </c>
      <c r="C43" s="47" t="s">
        <v>141</v>
      </c>
      <c r="D43" s="47" t="s">
        <v>142</v>
      </c>
      <c r="E43" s="48"/>
    </row>
    <row r="44" spans="2:5" ht="48.75" thickBot="1" x14ac:dyDescent="0.9">
      <c r="B44" s="46" t="s">
        <v>143</v>
      </c>
      <c r="C44" s="47" t="s">
        <v>144</v>
      </c>
      <c r="D44" s="47" t="s">
        <v>145</v>
      </c>
      <c r="E44" s="53"/>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election activeCell="B27" activeCellId="3" sqref="B4:E4 B11:E11 B15:E15 B27:E27"/>
    </sheetView>
  </sheetViews>
  <sheetFormatPr defaultRowHeight="14.75" x14ac:dyDescent="0.75"/>
  <cols>
    <col min="1" max="1" width="8.7265625" style="17"/>
    <col min="2" max="2" width="8.40625" style="17" bestFit="1" customWidth="1"/>
    <col min="3" max="3" width="24.26953125" style="17" bestFit="1" customWidth="1"/>
    <col min="4" max="4" width="101.58984375" style="17" bestFit="1" customWidth="1"/>
    <col min="5" max="5" width="21.76953125" style="17" customWidth="1"/>
    <col min="6" max="16384" width="8.7265625" style="17"/>
  </cols>
  <sheetData>
    <row r="2" spans="2:5" ht="15.5" thickBot="1" x14ac:dyDescent="0.9"/>
    <row r="3" spans="2:5" ht="32.75" thickBot="1" x14ac:dyDescent="0.9">
      <c r="B3" s="66" t="s">
        <v>41</v>
      </c>
      <c r="C3" s="67"/>
      <c r="D3" s="45" t="s">
        <v>42</v>
      </c>
      <c r="E3" s="45" t="s">
        <v>43</v>
      </c>
    </row>
    <row r="4" spans="2:5" ht="16.75" thickBot="1" x14ac:dyDescent="0.9">
      <c r="B4" s="68" t="s">
        <v>146</v>
      </c>
      <c r="C4" s="69"/>
      <c r="D4" s="69"/>
      <c r="E4" s="70"/>
    </row>
    <row r="5" spans="2:5" ht="16.75" thickBot="1" x14ac:dyDescent="0.9">
      <c r="B5" s="46" t="s">
        <v>147</v>
      </c>
      <c r="C5" s="49" t="s">
        <v>148</v>
      </c>
      <c r="D5" s="47" t="s">
        <v>149</v>
      </c>
      <c r="E5" s="53"/>
    </row>
    <row r="6" spans="2:5" ht="16.75" thickBot="1" x14ac:dyDescent="0.9">
      <c r="B6" s="46" t="s">
        <v>150</v>
      </c>
      <c r="C6" s="49" t="s">
        <v>151</v>
      </c>
      <c r="D6" s="47" t="s">
        <v>152</v>
      </c>
      <c r="E6" s="49" t="s">
        <v>115</v>
      </c>
    </row>
    <row r="7" spans="2:5" ht="64.75" thickBot="1" x14ac:dyDescent="0.9">
      <c r="B7" s="46" t="s">
        <v>153</v>
      </c>
      <c r="C7" s="49" t="s">
        <v>154</v>
      </c>
      <c r="D7" s="47" t="s">
        <v>155</v>
      </c>
      <c r="E7" s="53"/>
    </row>
    <row r="8" spans="2:5" ht="16.75" thickBot="1" x14ac:dyDescent="0.9">
      <c r="B8" s="46" t="s">
        <v>156</v>
      </c>
      <c r="C8" s="49" t="s">
        <v>157</v>
      </c>
      <c r="D8" s="47" t="s">
        <v>91</v>
      </c>
      <c r="E8" s="53"/>
    </row>
    <row r="9" spans="2:5" ht="32.75" thickBot="1" x14ac:dyDescent="0.9">
      <c r="B9" s="46" t="s">
        <v>158</v>
      </c>
      <c r="C9" s="49" t="s">
        <v>159</v>
      </c>
      <c r="D9" s="47" t="s">
        <v>160</v>
      </c>
      <c r="E9" s="48"/>
    </row>
    <row r="10" spans="2:5" ht="32.75" thickBot="1" x14ac:dyDescent="0.9">
      <c r="B10" s="46" t="s">
        <v>161</v>
      </c>
      <c r="C10" s="49" t="s">
        <v>162</v>
      </c>
      <c r="D10" s="47" t="s">
        <v>163</v>
      </c>
      <c r="E10" s="53"/>
    </row>
    <row r="11" spans="2:5" ht="16.75" thickBot="1" x14ac:dyDescent="0.9">
      <c r="B11" s="77" t="s">
        <v>164</v>
      </c>
      <c r="C11" s="78"/>
      <c r="D11" s="78"/>
      <c r="E11" s="79"/>
    </row>
    <row r="12" spans="2:5" ht="32" x14ac:dyDescent="0.75">
      <c r="B12" s="71" t="s">
        <v>165</v>
      </c>
      <c r="C12" s="71" t="s">
        <v>166</v>
      </c>
      <c r="D12" s="71" t="s">
        <v>167</v>
      </c>
      <c r="E12" s="54" t="s">
        <v>168</v>
      </c>
    </row>
    <row r="13" spans="2:5" ht="16" x14ac:dyDescent="0.75">
      <c r="B13" s="72"/>
      <c r="C13" s="72"/>
      <c r="D13" s="72"/>
      <c r="E13" s="54" t="s">
        <v>169</v>
      </c>
    </row>
    <row r="14" spans="2:5" ht="16.75" thickBot="1" x14ac:dyDescent="0.9">
      <c r="B14" s="73"/>
      <c r="C14" s="73"/>
      <c r="D14" s="73"/>
      <c r="E14" s="49" t="s">
        <v>170</v>
      </c>
    </row>
    <row r="15" spans="2:5" ht="16.75" thickBot="1" x14ac:dyDescent="0.9">
      <c r="B15" s="77" t="s">
        <v>171</v>
      </c>
      <c r="C15" s="78"/>
      <c r="D15" s="78"/>
      <c r="E15" s="79"/>
    </row>
    <row r="16" spans="2:5" ht="32.75" thickBot="1" x14ac:dyDescent="0.9">
      <c r="B16" s="46" t="s">
        <v>172</v>
      </c>
      <c r="C16" s="49" t="s">
        <v>173</v>
      </c>
      <c r="D16" s="47" t="s">
        <v>174</v>
      </c>
      <c r="E16" s="53"/>
    </row>
    <row r="17" spans="2:5" ht="16.75" thickBot="1" x14ac:dyDescent="0.9">
      <c r="B17" s="46" t="s">
        <v>175</v>
      </c>
      <c r="C17" s="49" t="s">
        <v>176</v>
      </c>
      <c r="D17" s="47" t="s">
        <v>177</v>
      </c>
      <c r="E17" s="49" t="s">
        <v>169</v>
      </c>
    </row>
    <row r="18" spans="2:5" ht="16.75" thickBot="1" x14ac:dyDescent="0.9">
      <c r="B18" s="46" t="s">
        <v>178</v>
      </c>
      <c r="C18" s="49" t="s">
        <v>179</v>
      </c>
      <c r="D18" s="47" t="s">
        <v>180</v>
      </c>
      <c r="E18" s="49" t="s">
        <v>169</v>
      </c>
    </row>
    <row r="19" spans="2:5" ht="16.75" thickBot="1" x14ac:dyDescent="0.9">
      <c r="B19" s="46" t="s">
        <v>181</v>
      </c>
      <c r="C19" s="49" t="s">
        <v>182</v>
      </c>
      <c r="D19" s="47" t="s">
        <v>183</v>
      </c>
      <c r="E19" s="49" t="s">
        <v>115</v>
      </c>
    </row>
    <row r="20" spans="2:5" ht="16.75" thickBot="1" x14ac:dyDescent="0.9">
      <c r="B20" s="46" t="s">
        <v>184</v>
      </c>
      <c r="C20" s="49" t="s">
        <v>185</v>
      </c>
      <c r="D20" s="47" t="s">
        <v>186</v>
      </c>
      <c r="E20" s="49" t="s">
        <v>169</v>
      </c>
    </row>
    <row r="21" spans="2:5" ht="32.75" thickBot="1" x14ac:dyDescent="0.9">
      <c r="B21" s="46" t="s">
        <v>187</v>
      </c>
      <c r="C21" s="49" t="s">
        <v>188</v>
      </c>
      <c r="D21" s="47" t="s">
        <v>189</v>
      </c>
      <c r="E21" s="49" t="s">
        <v>169</v>
      </c>
    </row>
    <row r="22" spans="2:5" ht="16" x14ac:dyDescent="0.75">
      <c r="B22" s="71" t="s">
        <v>190</v>
      </c>
      <c r="C22" s="74" t="s">
        <v>191</v>
      </c>
      <c r="D22" s="71" t="s">
        <v>192</v>
      </c>
      <c r="E22" s="54" t="s">
        <v>169</v>
      </c>
    </row>
    <row r="23" spans="2:5" x14ac:dyDescent="0.75">
      <c r="B23" s="72"/>
      <c r="C23" s="75"/>
      <c r="D23" s="72"/>
      <c r="E23" s="51"/>
    </row>
    <row r="24" spans="2:5" ht="16.75" thickBot="1" x14ac:dyDescent="0.9">
      <c r="B24" s="73"/>
      <c r="C24" s="76"/>
      <c r="D24" s="73"/>
      <c r="E24" s="49" t="s">
        <v>193</v>
      </c>
    </row>
    <row r="25" spans="2:5" ht="32.75" thickBot="1" x14ac:dyDescent="0.9">
      <c r="B25" s="46" t="s">
        <v>194</v>
      </c>
      <c r="C25" s="49" t="s">
        <v>195</v>
      </c>
      <c r="D25" s="47" t="s">
        <v>196</v>
      </c>
      <c r="E25" s="49" t="s">
        <v>169</v>
      </c>
    </row>
    <row r="26" spans="2:5" ht="16.75" thickBot="1" x14ac:dyDescent="0.9">
      <c r="B26" s="46" t="s">
        <v>197</v>
      </c>
      <c r="C26" s="49" t="s">
        <v>198</v>
      </c>
      <c r="D26" s="47" t="s">
        <v>199</v>
      </c>
      <c r="E26" s="49" t="s">
        <v>115</v>
      </c>
    </row>
    <row r="27" spans="2:5" ht="16.75" thickBot="1" x14ac:dyDescent="0.9">
      <c r="B27" s="77" t="s">
        <v>200</v>
      </c>
      <c r="C27" s="78"/>
      <c r="D27" s="78"/>
      <c r="E27" s="79"/>
    </row>
    <row r="28" spans="2:5" ht="16.75" thickBot="1" x14ac:dyDescent="0.9">
      <c r="B28" s="77" t="s">
        <v>201</v>
      </c>
      <c r="C28" s="78"/>
      <c r="D28" s="78"/>
      <c r="E28" s="79"/>
    </row>
    <row r="29" spans="2:5" ht="16.75" thickBot="1" x14ac:dyDescent="0.9">
      <c r="B29" s="46" t="s">
        <v>202</v>
      </c>
      <c r="C29" s="49" t="s">
        <v>203</v>
      </c>
      <c r="D29" s="47" t="s">
        <v>204</v>
      </c>
      <c r="E29" s="53"/>
    </row>
    <row r="30" spans="2:5" ht="48.75" thickBot="1" x14ac:dyDescent="0.9">
      <c r="B30" s="46" t="s">
        <v>205</v>
      </c>
      <c r="C30" s="49" t="s">
        <v>206</v>
      </c>
      <c r="D30" s="47" t="s">
        <v>207</v>
      </c>
      <c r="E30" s="53"/>
    </row>
    <row r="31" spans="2:5" ht="16.75" thickBot="1" x14ac:dyDescent="0.9">
      <c r="B31" s="77" t="s">
        <v>208</v>
      </c>
      <c r="C31" s="78"/>
      <c r="D31" s="78"/>
      <c r="E31" s="79"/>
    </row>
    <row r="32" spans="2:5" ht="16.75" thickBot="1" x14ac:dyDescent="0.9">
      <c r="B32" s="46" t="s">
        <v>209</v>
      </c>
      <c r="C32" s="49" t="s">
        <v>210</v>
      </c>
      <c r="D32" s="47" t="s">
        <v>211</v>
      </c>
      <c r="E32" s="49" t="s">
        <v>115</v>
      </c>
    </row>
    <row r="33" spans="2:5" ht="16" x14ac:dyDescent="0.75">
      <c r="B33" s="71" t="s">
        <v>212</v>
      </c>
      <c r="C33" s="74" t="s">
        <v>213</v>
      </c>
      <c r="D33" s="71" t="s">
        <v>214</v>
      </c>
      <c r="E33" s="54" t="s">
        <v>132</v>
      </c>
    </row>
    <row r="34" spans="2:5" ht="16" x14ac:dyDescent="0.75">
      <c r="B34" s="72"/>
      <c r="C34" s="75"/>
      <c r="D34" s="72"/>
      <c r="E34" s="54" t="s">
        <v>215</v>
      </c>
    </row>
    <row r="35" spans="2:5" ht="16.75" thickBot="1" x14ac:dyDescent="0.9">
      <c r="B35" s="73"/>
      <c r="C35" s="76"/>
      <c r="D35" s="73"/>
      <c r="E35" s="49" t="s">
        <v>169</v>
      </c>
    </row>
    <row r="36" spans="2:5" ht="32.75" thickBot="1" x14ac:dyDescent="0.9">
      <c r="B36" s="46" t="s">
        <v>216</v>
      </c>
      <c r="C36" s="49" t="s">
        <v>217</v>
      </c>
      <c r="D36" s="47" t="s">
        <v>218</v>
      </c>
      <c r="E36" s="48"/>
    </row>
    <row r="37" spans="2:5" ht="32.75" thickBot="1" x14ac:dyDescent="0.9">
      <c r="B37" s="46" t="s">
        <v>219</v>
      </c>
      <c r="C37" s="49" t="s">
        <v>220</v>
      </c>
      <c r="D37" s="47" t="s">
        <v>221</v>
      </c>
      <c r="E37" s="48"/>
    </row>
    <row r="38" spans="2:5" ht="32.75" thickBot="1" x14ac:dyDescent="0.9">
      <c r="B38" s="46" t="s">
        <v>222</v>
      </c>
      <c r="C38" s="49" t="s">
        <v>223</v>
      </c>
      <c r="D38" s="47" t="s">
        <v>224</v>
      </c>
      <c r="E38" s="48"/>
    </row>
    <row r="39" spans="2:5" ht="16.75" thickBot="1" x14ac:dyDescent="0.9">
      <c r="B39" s="46" t="s">
        <v>225</v>
      </c>
      <c r="C39" s="49" t="s">
        <v>226</v>
      </c>
      <c r="D39" s="47" t="s">
        <v>227</v>
      </c>
      <c r="E39" s="49" t="s">
        <v>169</v>
      </c>
    </row>
    <row r="40" spans="2:5" ht="16" x14ac:dyDescent="0.75">
      <c r="B40" s="71" t="s">
        <v>228</v>
      </c>
      <c r="C40" s="74" t="s">
        <v>229</v>
      </c>
      <c r="D40" s="71" t="s">
        <v>230</v>
      </c>
      <c r="E40" s="54" t="s">
        <v>169</v>
      </c>
    </row>
    <row r="41" spans="2:5" x14ac:dyDescent="0.75">
      <c r="B41" s="72"/>
      <c r="C41" s="75"/>
      <c r="D41" s="72"/>
      <c r="E41" s="51"/>
    </row>
    <row r="42" spans="2:5" ht="16.75" thickBot="1" x14ac:dyDescent="0.9">
      <c r="B42" s="73"/>
      <c r="C42" s="76"/>
      <c r="D42" s="73"/>
      <c r="E42" s="49" t="s">
        <v>193</v>
      </c>
    </row>
    <row r="43" spans="2:5" ht="16.75" thickBot="1" x14ac:dyDescent="0.9">
      <c r="B43" s="46" t="s">
        <v>231</v>
      </c>
      <c r="C43" s="49" t="s">
        <v>232</v>
      </c>
      <c r="D43" s="47" t="s">
        <v>233</v>
      </c>
      <c r="E43" s="48"/>
    </row>
    <row r="44" spans="2:5" ht="32.75" thickBot="1" x14ac:dyDescent="0.9">
      <c r="B44" s="46" t="s">
        <v>234</v>
      </c>
      <c r="C44" s="49" t="s">
        <v>235</v>
      </c>
      <c r="D44" s="47" t="s">
        <v>236</v>
      </c>
      <c r="E44" s="48"/>
    </row>
    <row r="45" spans="2:5" ht="32.75" thickBot="1" x14ac:dyDescent="0.9">
      <c r="B45" s="46" t="s">
        <v>237</v>
      </c>
      <c r="C45" s="49" t="s">
        <v>238</v>
      </c>
      <c r="D45" s="47" t="s">
        <v>239</v>
      </c>
      <c r="E45" s="48"/>
    </row>
    <row r="46" spans="2:5" ht="64" x14ac:dyDescent="0.75">
      <c r="B46" s="71" t="s">
        <v>240</v>
      </c>
      <c r="C46" s="74" t="s">
        <v>241</v>
      </c>
      <c r="D46" s="71" t="s">
        <v>242</v>
      </c>
      <c r="E46" s="54" t="s">
        <v>243</v>
      </c>
    </row>
    <row r="47" spans="2:5" x14ac:dyDescent="0.75">
      <c r="B47" s="72"/>
      <c r="C47" s="75"/>
      <c r="D47" s="72"/>
      <c r="E47" s="55"/>
    </row>
    <row r="48" spans="2:5" ht="16.75" thickBot="1" x14ac:dyDescent="0.9">
      <c r="B48" s="73"/>
      <c r="C48" s="76"/>
      <c r="D48" s="73"/>
      <c r="E48" s="49" t="s">
        <v>244</v>
      </c>
    </row>
    <row r="49" spans="2:5" ht="16" x14ac:dyDescent="0.75">
      <c r="B49" s="71" t="s">
        <v>245</v>
      </c>
      <c r="C49" s="74" t="s">
        <v>246</v>
      </c>
      <c r="D49" s="71" t="s">
        <v>247</v>
      </c>
      <c r="E49" s="54" t="s">
        <v>169</v>
      </c>
    </row>
    <row r="50" spans="2:5" x14ac:dyDescent="0.75">
      <c r="B50" s="72"/>
      <c r="C50" s="75"/>
      <c r="D50" s="72"/>
      <c r="E50" s="51"/>
    </row>
    <row r="51" spans="2:5" ht="48.75" thickBot="1" x14ac:dyDescent="0.9">
      <c r="B51" s="73"/>
      <c r="C51" s="76"/>
      <c r="D51" s="73"/>
      <c r="E51" s="49" t="s">
        <v>248</v>
      </c>
    </row>
    <row r="52" spans="2:5" ht="16.75" thickBot="1" x14ac:dyDescent="0.9">
      <c r="B52" s="46" t="s">
        <v>249</v>
      </c>
      <c r="C52" s="49" t="s">
        <v>250</v>
      </c>
      <c r="D52" s="47" t="s">
        <v>251</v>
      </c>
      <c r="E52" s="48"/>
    </row>
    <row r="53" spans="2:5" ht="16.75" thickBot="1" x14ac:dyDescent="0.9">
      <c r="B53" s="46" t="s">
        <v>252</v>
      </c>
      <c r="C53" s="49" t="s">
        <v>253</v>
      </c>
      <c r="D53" s="47" t="s">
        <v>254</v>
      </c>
      <c r="E53" s="4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dimension ref="A1:L27"/>
  <sheetViews>
    <sheetView topLeftCell="A4" workbookViewId="0">
      <selection activeCell="F24" sqref="F24"/>
    </sheetView>
  </sheetViews>
  <sheetFormatPr defaultRowHeight="14.75" x14ac:dyDescent="0.75"/>
  <cols>
    <col min="1" max="1" width="16.54296875" style="17" customWidth="1"/>
    <col min="2" max="2" width="59.5" style="17" customWidth="1"/>
    <col min="3" max="3" width="44.6328125" style="17" customWidth="1"/>
    <col min="4" max="4" width="71.58984375" style="17" bestFit="1" customWidth="1"/>
    <col min="5" max="5" width="10.81640625" style="17" customWidth="1"/>
    <col min="6" max="6" width="9" style="17" customWidth="1"/>
    <col min="7" max="8" width="21.76953125" style="17" customWidth="1"/>
    <col min="9" max="9" width="67.1796875" style="18" customWidth="1"/>
    <col min="10" max="10" width="19.31640625" style="17" customWidth="1"/>
    <col min="11" max="11" width="8.7265625" style="17"/>
    <col min="12" max="12" width="45.81640625" style="18" customWidth="1"/>
    <col min="13" max="13" width="8.7265625" style="17" customWidth="1"/>
    <col min="14" max="16384" width="8.7265625" style="17"/>
  </cols>
  <sheetData>
    <row r="1" spans="1:11" x14ac:dyDescent="0.75">
      <c r="B1" s="22"/>
      <c r="C1" s="22"/>
      <c r="D1" s="22"/>
      <c r="I1" s="41" t="s">
        <v>39</v>
      </c>
    </row>
    <row r="2" spans="1:11" x14ac:dyDescent="0.75">
      <c r="B2" s="22"/>
      <c r="C2" s="22"/>
      <c r="D2" s="22"/>
      <c r="I2" s="42" t="s">
        <v>38</v>
      </c>
    </row>
    <row r="3" spans="1:11" ht="15.5" thickBot="1" x14ac:dyDescent="0.9">
      <c r="B3" s="22"/>
      <c r="C3" s="22"/>
      <c r="D3" s="22"/>
      <c r="I3" s="42" t="str">
        <f>I1</f>
        <v>// -------------------------------------------------------------------------------</v>
      </c>
    </row>
    <row r="4" spans="1:11" x14ac:dyDescent="0.75">
      <c r="A4" s="7" t="s">
        <v>15</v>
      </c>
      <c r="B4" s="25" t="s">
        <v>255</v>
      </c>
      <c r="C4" s="22"/>
      <c r="D4" s="22"/>
      <c r="I4" s="34" t="str">
        <f>CONCATENATE("Logical: ",B4)</f>
        <v>Logical: LabReportEhn</v>
      </c>
    </row>
    <row r="5" spans="1:11" x14ac:dyDescent="0.75">
      <c r="A5" s="26" t="s">
        <v>20</v>
      </c>
      <c r="B5" s="44" t="s">
        <v>256</v>
      </c>
      <c r="C5" s="22"/>
      <c r="D5" s="22"/>
      <c r="I5" s="34" t="str">
        <f>CONCATENATE("Id: ",B5)</f>
        <v>Id: LabReport</v>
      </c>
    </row>
    <row r="6" spans="1:11" x14ac:dyDescent="0.75">
      <c r="A6" s="28" t="s">
        <v>13</v>
      </c>
      <c r="B6" s="27" t="s">
        <v>257</v>
      </c>
      <c r="C6" s="22"/>
      <c r="D6" s="22"/>
      <c r="I6" s="35" t="str">
        <f>CONCATENATE("Title: ##34#",B6,"##34#")</f>
        <v>Title: ##34#Laboratory Report##34#</v>
      </c>
    </row>
    <row r="7" spans="1:11" x14ac:dyDescent="0.75">
      <c r="A7" s="57" t="s">
        <v>5</v>
      </c>
      <c r="B7" s="58" t="s">
        <v>257</v>
      </c>
      <c r="C7" s="15" t="s">
        <v>6</v>
      </c>
      <c r="D7" s="2" t="s">
        <v>7</v>
      </c>
      <c r="E7" s="4" t="s">
        <v>8</v>
      </c>
      <c r="F7" s="4" t="s">
        <v>9</v>
      </c>
      <c r="G7" s="4" t="s">
        <v>10</v>
      </c>
      <c r="I7" s="35" t="str">
        <f>CONCATENATE("Description: "," ##334#",B7,"##334#",)</f>
        <v>Description:  ##334#Laboratory Report##334#</v>
      </c>
    </row>
    <row r="8" spans="1:11" ht="29.5" x14ac:dyDescent="0.75">
      <c r="A8" s="19">
        <v>1</v>
      </c>
      <c r="B8" s="19" t="s">
        <v>258</v>
      </c>
      <c r="C8" s="19" t="s">
        <v>44</v>
      </c>
      <c r="D8" s="20" t="s">
        <v>44</v>
      </c>
      <c r="E8" s="19">
        <v>1</v>
      </c>
      <c r="F8" s="19">
        <v>1</v>
      </c>
      <c r="G8" s="19" t="s">
        <v>4</v>
      </c>
      <c r="H8" s="56"/>
      <c r="I8" s="43" t="str">
        <f t="shared" ref="I8:I25" si="0">CONCATENATE("* ",B8, " ",E8,"..",F8," ",G8," ##34#",C8,"##34# ##334#",D8,"##334#")</f>
        <v>* header 1..1 BackboneElement ##34#A.1 Report header data elements##34# ##334#A.1 Report header data elements##334#</v>
      </c>
    </row>
    <row r="9" spans="1:11" ht="59.75" customHeight="1" x14ac:dyDescent="0.75">
      <c r="A9" s="19">
        <v>2</v>
      </c>
      <c r="B9" s="19" t="s">
        <v>259</v>
      </c>
      <c r="C9" s="19" t="s">
        <v>346</v>
      </c>
      <c r="D9" s="19" t="s">
        <v>343</v>
      </c>
      <c r="E9" s="19">
        <v>1</v>
      </c>
      <c r="F9" s="19">
        <v>1</v>
      </c>
      <c r="G9" s="19" t="s">
        <v>342</v>
      </c>
      <c r="H9" s="56"/>
      <c r="I9" s="43" t="str">
        <f t="shared" si="0"/>
        <v>* header.subject 1..1 http://hl7.eu/fhir/ig/xeh/StructureDefinition/Subject ##34#A.1.1 - A1.2 Patient/subject##34# ##334#A.1.1 Identification of the patient/subject and A.1.2 Patient/subject related contact information  ##334#</v>
      </c>
    </row>
    <row r="10" spans="1:11" ht="30.25" customHeight="1" x14ac:dyDescent="0.75">
      <c r="A10" s="19">
        <v>3</v>
      </c>
      <c r="B10" s="19" t="s">
        <v>271</v>
      </c>
      <c r="C10" s="19" t="s">
        <v>344</v>
      </c>
      <c r="D10" s="19" t="s">
        <v>344</v>
      </c>
      <c r="E10" s="19">
        <v>0</v>
      </c>
      <c r="F10" s="19">
        <v>1</v>
      </c>
      <c r="G10" s="19" t="s">
        <v>4</v>
      </c>
      <c r="H10" s="56"/>
      <c r="I10" s="43" t="str">
        <f t="shared" si="0"/>
        <v>* header.paymentData 0..1 BackboneElement ##34#A.1.3 Health insurance and payment information##34# ##334#A.1.3 Health insurance and payment information##334#</v>
      </c>
    </row>
    <row r="11" spans="1:11" ht="59" x14ac:dyDescent="0.75">
      <c r="A11" s="19">
        <v>4</v>
      </c>
      <c r="B11" s="19" t="s">
        <v>272</v>
      </c>
      <c r="C11" s="20" t="s">
        <v>260</v>
      </c>
      <c r="D11" s="20" t="s">
        <v>345</v>
      </c>
      <c r="E11" s="19">
        <v>0</v>
      </c>
      <c r="F11" s="19">
        <v>1</v>
      </c>
      <c r="G11" s="19" t="s">
        <v>4</v>
      </c>
      <c r="H11" s="56"/>
      <c r="I11" s="43" t="str">
        <f t="shared" si="0"/>
        <v>* header.informationRecipient 0..1 BackboneElement ##34#A.1.4 Information recipient##34# ##334#A.1.4 Information recipient (intended recipient or recipients of the report, additional recipients might be identified by the ordering party, e.g. GP, other specialist), if applicable##334#</v>
      </c>
    </row>
    <row r="12" spans="1:11" ht="29.5" x14ac:dyDescent="0.75">
      <c r="A12" s="19">
        <v>5</v>
      </c>
      <c r="B12" s="19" t="s">
        <v>273</v>
      </c>
      <c r="C12" s="20" t="s">
        <v>116</v>
      </c>
      <c r="D12" s="20" t="s">
        <v>116</v>
      </c>
      <c r="E12" s="19">
        <v>0</v>
      </c>
      <c r="F12" s="19" t="s">
        <v>11</v>
      </c>
      <c r="G12" s="19" t="s">
        <v>4</v>
      </c>
      <c r="H12" s="56"/>
      <c r="I12" s="43" t="str">
        <f t="shared" si="0"/>
        <v>* header.validator 0..* BackboneElement ##34#A.1.7 Result validator##34# ##334#A.1.7 Result validator##334#</v>
      </c>
    </row>
    <row r="13" spans="1:11" ht="16.75" customHeight="1" x14ac:dyDescent="0.75">
      <c r="A13" s="19">
        <v>6</v>
      </c>
      <c r="B13" s="19" t="s">
        <v>274</v>
      </c>
      <c r="C13" s="19" t="s">
        <v>128</v>
      </c>
      <c r="D13" s="19" t="s">
        <v>128</v>
      </c>
      <c r="E13" s="19">
        <v>1</v>
      </c>
      <c r="F13" s="19">
        <v>1</v>
      </c>
      <c r="G13" s="19" t="s">
        <v>1</v>
      </c>
      <c r="H13" s="56"/>
      <c r="I13" s="43" t="str">
        <f t="shared" si="0"/>
        <v>* header.metadata 1..1 CodeableConcept ##34#A.1.8 Laboratory report metadata##34# ##334#A.1.8 Laboratory report metadata##334#</v>
      </c>
    </row>
    <row r="14" spans="1:11" ht="29.5" x14ac:dyDescent="0.75">
      <c r="A14" s="19">
        <v>7</v>
      </c>
      <c r="B14" s="19" t="s">
        <v>275</v>
      </c>
      <c r="C14" s="19" t="s">
        <v>261</v>
      </c>
      <c r="D14" s="20" t="s">
        <v>266</v>
      </c>
      <c r="E14" s="19">
        <v>1</v>
      </c>
      <c r="F14" s="19">
        <v>1</v>
      </c>
      <c r="G14" s="19" t="s">
        <v>1</v>
      </c>
      <c r="H14" s="56"/>
      <c r="I14" s="43" t="str">
        <f t="shared" si="0"/>
        <v>* header.metadata.type 1..1 CodeableConcept ##34#A.1.8.1 Document type##34# ##334#A coded type of the document. Fixed value "Laboratory report" - Preferred system(s): LOINC##334#</v>
      </c>
    </row>
    <row r="15" spans="1:11" ht="29.5" x14ac:dyDescent="0.75">
      <c r="A15" s="19">
        <v>8</v>
      </c>
      <c r="B15" s="19" t="s">
        <v>276</v>
      </c>
      <c r="C15" s="19" t="s">
        <v>262</v>
      </c>
      <c r="D15" s="20" t="s">
        <v>267</v>
      </c>
      <c r="E15" s="19">
        <v>1</v>
      </c>
      <c r="F15" s="19">
        <v>1</v>
      </c>
      <c r="G15" s="19" t="s">
        <v>1</v>
      </c>
      <c r="H15" s="56"/>
      <c r="I15" s="43" t="str">
        <f t="shared" si="0"/>
        <v>* header.metadata.status 1..1 CodeableConcept ##34#A.1.8.2 Document status##34# ##334#The status of the laboratory test result report. E.g., preliminary, final. - Preferred system(s): hl7:DiagnosticReportStatus##334#</v>
      </c>
      <c r="J15" s="24"/>
      <c r="K15" s="19"/>
    </row>
    <row r="16" spans="1:11" ht="29.5" x14ac:dyDescent="0.75">
      <c r="A16" s="19">
        <v>9</v>
      </c>
      <c r="B16" s="19" t="s">
        <v>277</v>
      </c>
      <c r="C16" s="19" t="s">
        <v>263</v>
      </c>
      <c r="D16" s="20" t="s">
        <v>268</v>
      </c>
      <c r="E16" s="21">
        <v>1</v>
      </c>
      <c r="F16" s="21">
        <v>1</v>
      </c>
      <c r="G16" s="21" t="s">
        <v>2</v>
      </c>
      <c r="I16" s="43" t="str">
        <f t="shared" si="0"/>
        <v>* header.metadata.dateTime 1..1 dateTime ##34#A.1.8.3 Report date and time##34# ##334#Date and time of the result report creation. - Preferred system(s): ISO 8601##334#</v>
      </c>
    </row>
    <row r="17" spans="1:9" ht="29.5" x14ac:dyDescent="0.75">
      <c r="A17" s="19">
        <v>10</v>
      </c>
      <c r="B17" s="19" t="s">
        <v>278</v>
      </c>
      <c r="C17" s="19" t="s">
        <v>264</v>
      </c>
      <c r="D17" s="20" t="s">
        <v>269</v>
      </c>
      <c r="E17" s="21">
        <v>0</v>
      </c>
      <c r="F17" s="21">
        <v>1</v>
      </c>
      <c r="G17" s="21" t="s">
        <v>3</v>
      </c>
      <c r="I17" s="43" t="str">
        <f t="shared" si="0"/>
        <v>* header.metadata.title 0..1 string ##34#A.1.8.4 Document title##34# ##334#Document title, e.g. "Laboratory Result report" - Preferred system(s): ##334#</v>
      </c>
    </row>
    <row r="18" spans="1:9" ht="44.25" x14ac:dyDescent="0.75">
      <c r="A18" s="19">
        <v>11</v>
      </c>
      <c r="B18" s="19" t="s">
        <v>279</v>
      </c>
      <c r="C18" s="19" t="s">
        <v>265</v>
      </c>
      <c r="D18" s="20" t="s">
        <v>270</v>
      </c>
      <c r="E18" s="21">
        <v>0</v>
      </c>
      <c r="F18" s="21">
        <v>1</v>
      </c>
      <c r="G18" s="19" t="s">
        <v>4</v>
      </c>
      <c r="I18" s="43" t="str">
        <f t="shared" si="0"/>
        <v>* header.metadata.custodian 0..1 BackboneElement ##34#A.1.8.5 Report custodian##34# ##334#Organisation that is in charge of maintaining the laboratory report - Preferred system(s): ##334#</v>
      </c>
    </row>
    <row r="19" spans="1:9" ht="59" x14ac:dyDescent="0.75">
      <c r="A19" s="19">
        <v>12</v>
      </c>
      <c r="B19" s="19" t="s">
        <v>347</v>
      </c>
      <c r="C19" s="19" t="s">
        <v>348</v>
      </c>
      <c r="D19" s="5" t="s">
        <v>349</v>
      </c>
      <c r="E19" s="21">
        <v>0</v>
      </c>
      <c r="F19" s="19" t="s">
        <v>11</v>
      </c>
      <c r="G19" s="19" t="s">
        <v>4</v>
      </c>
      <c r="I19" s="43" t="str">
        <f t="shared" si="0"/>
        <v>* order 0..* BackboneElement ##34#A.2-A.3 Order##34# ##334#A.2 Order information (Laboratory Result Report could respond to multiple test orders)
A.3 Order reason (Laboratory Result Report could respond to multiple reasons)
##334#</v>
      </c>
    </row>
    <row r="20" spans="1:9" ht="44.25" x14ac:dyDescent="0.75">
      <c r="A20" s="19">
        <v>13</v>
      </c>
      <c r="B20" s="21" t="s">
        <v>350</v>
      </c>
      <c r="C20" s="19" t="s">
        <v>171</v>
      </c>
      <c r="D20" s="19" t="s">
        <v>171</v>
      </c>
      <c r="E20" s="21">
        <v>0</v>
      </c>
      <c r="F20" s="19" t="s">
        <v>11</v>
      </c>
      <c r="G20" s="19" t="s">
        <v>4</v>
      </c>
      <c r="I20" s="43" t="str">
        <f t="shared" si="0"/>
        <v>* specimen 0..* BackboneElement ##34#A.4 Specimen information##34# ##334#A.4 Specimen information##334#</v>
      </c>
    </row>
    <row r="21" spans="1:9" ht="44.25" x14ac:dyDescent="0.75">
      <c r="A21" s="19">
        <v>14</v>
      </c>
      <c r="B21" s="21" t="s">
        <v>351</v>
      </c>
      <c r="C21" s="19" t="s">
        <v>200</v>
      </c>
      <c r="D21" s="19" t="s">
        <v>200</v>
      </c>
      <c r="E21" s="21">
        <v>0</v>
      </c>
      <c r="F21" s="19" t="s">
        <v>11</v>
      </c>
      <c r="G21" s="19" t="s">
        <v>4</v>
      </c>
      <c r="I21" s="43" t="str">
        <f t="shared" si="0"/>
        <v>* result 0..* BackboneElement ##34#A.5 Results data elements##34# ##334#A.5 Results data elements##334#</v>
      </c>
    </row>
    <row r="22" spans="1:9" x14ac:dyDescent="0.75">
      <c r="I22" s="43"/>
    </row>
    <row r="23" spans="1:9" x14ac:dyDescent="0.75">
      <c r="I23" s="43"/>
    </row>
    <row r="24" spans="1:9" x14ac:dyDescent="0.75">
      <c r="B24" s="13"/>
      <c r="F24" s="13"/>
      <c r="I24" s="43"/>
    </row>
    <row r="25" spans="1:9" x14ac:dyDescent="0.75">
      <c r="I25" s="43"/>
    </row>
    <row r="26" spans="1:9" ht="16.75" customHeight="1" x14ac:dyDescent="0.75"/>
    <row r="27" spans="1:9" ht="16.75" customHeight="1" x14ac:dyDescent="0.7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34"/>
  <sheetViews>
    <sheetView tabSelected="1" workbookViewId="0">
      <selection activeCell="B28" sqref="B28:C28"/>
    </sheetView>
  </sheetViews>
  <sheetFormatPr defaultRowHeight="14.75" x14ac:dyDescent="0.75"/>
  <cols>
    <col min="1" max="1" width="8.7265625" style="17"/>
    <col min="2" max="2" width="31.6796875" style="17" bestFit="1" customWidth="1"/>
    <col min="3" max="3" width="76.40625" style="18" customWidth="1"/>
    <col min="4" max="4" width="8.04296875" style="17" customWidth="1"/>
    <col min="5" max="5" width="101.2265625" style="18" customWidth="1"/>
    <col min="6" max="6" width="10.76953125" style="17" customWidth="1"/>
    <col min="7" max="7" width="45.26953125" style="17" customWidth="1"/>
    <col min="8" max="16384" width="8.7265625" style="17"/>
  </cols>
  <sheetData>
    <row r="1" spans="1:15" x14ac:dyDescent="0.75">
      <c r="B1" s="22"/>
      <c r="C1" s="3"/>
      <c r="E1" s="33" t="s">
        <v>39</v>
      </c>
      <c r="H1" s="13"/>
      <c r="I1" s="13"/>
      <c r="J1" s="13"/>
      <c r="K1" s="13"/>
      <c r="L1" s="13"/>
      <c r="M1" s="13"/>
      <c r="N1" s="13"/>
      <c r="O1" s="13"/>
    </row>
    <row r="2" spans="1:15" x14ac:dyDescent="0.75">
      <c r="B2" s="22"/>
      <c r="C2" s="3"/>
      <c r="E2" s="40" t="s">
        <v>40</v>
      </c>
      <c r="H2" s="13"/>
      <c r="I2" s="13"/>
      <c r="J2" s="13"/>
      <c r="K2" s="13"/>
      <c r="L2" s="13"/>
      <c r="M2" s="13"/>
      <c r="N2" s="13"/>
      <c r="O2" s="13"/>
    </row>
    <row r="3" spans="1:15" ht="15.5" thickBot="1" x14ac:dyDescent="0.9">
      <c r="B3" s="22"/>
      <c r="C3" s="3"/>
      <c r="E3" s="40" t="str">
        <f>E1</f>
        <v>// -------------------------------------------------------------------------------</v>
      </c>
      <c r="H3" s="13"/>
      <c r="I3" s="13"/>
      <c r="J3" s="13"/>
      <c r="K3" s="13"/>
      <c r="L3" s="13"/>
      <c r="M3" s="13"/>
      <c r="N3" s="13"/>
      <c r="O3" s="13"/>
    </row>
    <row r="4" spans="1:15" ht="15.5" thickBot="1" x14ac:dyDescent="0.9">
      <c r="B4" s="16" t="s">
        <v>35</v>
      </c>
      <c r="C4" s="80" t="s">
        <v>341</v>
      </c>
      <c r="E4" s="37" t="str">
        <f>CONCATENATE("Mapping: ",C4)</f>
        <v>Mapping: eHNLab2Fhir</v>
      </c>
      <c r="H4" s="13"/>
      <c r="I4" s="13"/>
      <c r="J4" s="13"/>
      <c r="K4" s="13"/>
      <c r="L4" s="13"/>
      <c r="M4" s="13"/>
      <c r="N4" s="13"/>
      <c r="O4" s="13"/>
    </row>
    <row r="5" spans="1:15" ht="15.5" thickBot="1" x14ac:dyDescent="0.9">
      <c r="B5" s="16" t="s">
        <v>20</v>
      </c>
      <c r="C5" s="23" t="s">
        <v>17</v>
      </c>
      <c r="E5" s="38" t="str">
        <f>CONCATENATE("Id: ",C5)</f>
        <v>Id: fhir</v>
      </c>
      <c r="H5" s="13"/>
      <c r="I5" s="13"/>
      <c r="J5" s="13"/>
      <c r="K5" s="13"/>
      <c r="L5" s="13"/>
      <c r="M5" s="13"/>
      <c r="N5" s="13"/>
      <c r="O5" s="13"/>
    </row>
    <row r="6" spans="1:15" ht="15.5" thickBot="1" x14ac:dyDescent="0.9">
      <c r="B6" s="16" t="s">
        <v>13</v>
      </c>
      <c r="C6" s="81" t="s">
        <v>339</v>
      </c>
      <c r="E6" s="38" t="str">
        <f>CONCATENATE("Title: ##34#",C6,"##34#")</f>
        <v>Title: ##34#eHN Lab model to FHIR R4 Map##34#</v>
      </c>
      <c r="H6" s="13"/>
      <c r="I6" s="13"/>
      <c r="J6" s="13"/>
      <c r="K6" s="13"/>
      <c r="L6" s="13"/>
      <c r="M6" s="13"/>
      <c r="N6" s="13"/>
      <c r="O6" s="13"/>
    </row>
    <row r="7" spans="1:15" ht="15.5" thickBot="1" x14ac:dyDescent="0.9">
      <c r="B7" s="16" t="s">
        <v>36</v>
      </c>
      <c r="C7" s="82" t="str">
        <f>B9</f>
        <v>LabReport</v>
      </c>
      <c r="E7" s="38" t="str">
        <f>CONCATENATE("Source: ",C7)</f>
        <v>Source: LabReport</v>
      </c>
      <c r="H7" s="13"/>
      <c r="I7" s="13"/>
      <c r="J7" s="13"/>
      <c r="K7" s="13"/>
      <c r="L7" s="13"/>
      <c r="M7" s="13"/>
      <c r="N7" s="13"/>
      <c r="O7" s="13"/>
    </row>
    <row r="8" spans="1:15" ht="15.5" thickBot="1" x14ac:dyDescent="0.9">
      <c r="B8" s="36" t="s">
        <v>19</v>
      </c>
      <c r="C8" s="18" t="s">
        <v>16</v>
      </c>
      <c r="E8" s="39" t="str">
        <f>CONCATENATE("Target: ##34#",C8,"##34#")</f>
        <v>Target: ##34#hl7.org/fhir/r4##34#</v>
      </c>
      <c r="H8" s="13"/>
      <c r="I8" s="13"/>
      <c r="J8" s="13"/>
      <c r="K8" s="13"/>
      <c r="L8" s="13"/>
      <c r="M8" s="13"/>
      <c r="N8" s="13"/>
      <c r="O8" s="13"/>
    </row>
    <row r="9" spans="1:15" x14ac:dyDescent="0.75">
      <c r="A9" s="19"/>
      <c r="B9" s="19" t="str">
        <f>Report!B5</f>
        <v>LabReport</v>
      </c>
      <c r="C9" s="5" t="s">
        <v>281</v>
      </c>
      <c r="E9" s="59" t="str">
        <f>CONCATENATE("* -&gt; ##34#",C9,"##34#")</f>
        <v>* -&gt; ##34#Bundle.conformsTo('http://hl7.eu/fhir/ig/xeh/StructureDefinition/Bundle-lab-xeh')##34#</v>
      </c>
      <c r="H9" s="13"/>
      <c r="I9" s="13"/>
      <c r="J9" s="13"/>
      <c r="K9" s="13"/>
      <c r="L9" s="13"/>
      <c r="M9" s="13"/>
      <c r="N9" s="13"/>
      <c r="O9" s="13"/>
    </row>
    <row r="10" spans="1:15" ht="29.5" x14ac:dyDescent="0.75">
      <c r="A10" s="19"/>
      <c r="B10" s="19" t="str">
        <f>Report!B8</f>
        <v>header</v>
      </c>
      <c r="C10" s="20" t="s">
        <v>280</v>
      </c>
      <c r="E10" s="20" t="str">
        <f>CONCATENATE("* ",B10," -&gt; ##34#",C10,"##34#")</f>
        <v>* header -&gt; ##34#Composition.conformsTo('http://hl7.eu/fhir/ig/xeh/StructureDefinition/Composition-lab-xeh')##34#</v>
      </c>
      <c r="H10" s="13"/>
      <c r="I10" s="13"/>
      <c r="J10" s="13"/>
      <c r="K10" s="13"/>
      <c r="L10" s="13"/>
      <c r="M10" s="13"/>
      <c r="N10" s="13"/>
      <c r="O10" s="13"/>
    </row>
    <row r="11" spans="1:15" x14ac:dyDescent="0.75">
      <c r="A11" s="19"/>
      <c r="B11" s="19" t="str">
        <f>Report!B9</f>
        <v>header.subject</v>
      </c>
      <c r="C11" s="20" t="s">
        <v>284</v>
      </c>
      <c r="E11" s="20" t="str">
        <f t="shared" ref="E11:E20" si="0">CONCATENATE("* ",B11," -&gt; ##34#",C11,"##34#")</f>
        <v>* header.subject -&gt; ##34#Composition.subject##34#</v>
      </c>
      <c r="H11" s="13"/>
      <c r="I11" s="13"/>
      <c r="J11" s="13"/>
      <c r="K11" s="13"/>
      <c r="L11" s="13"/>
      <c r="M11" s="13"/>
      <c r="N11" s="13"/>
      <c r="O11" s="13"/>
    </row>
    <row r="12" spans="1:15" x14ac:dyDescent="0.75">
      <c r="A12" s="19"/>
      <c r="B12" s="19" t="str">
        <f>Report!B10</f>
        <v>header.paymentData</v>
      </c>
      <c r="C12" s="20" t="s">
        <v>282</v>
      </c>
      <c r="E12" s="20" t="str">
        <f t="shared" si="0"/>
        <v>* header.paymentData -&gt; ##34#To be mapped##34#</v>
      </c>
      <c r="H12" s="13"/>
      <c r="I12" s="13"/>
      <c r="J12" s="13"/>
      <c r="K12" s="13"/>
      <c r="L12" s="13"/>
      <c r="M12" s="13"/>
      <c r="N12" s="13"/>
      <c r="O12" s="13"/>
    </row>
    <row r="13" spans="1:15" ht="29.5" x14ac:dyDescent="0.75">
      <c r="A13" s="19"/>
      <c r="B13" s="19" t="str">
        <f>Report!B11</f>
        <v>header.informationRecipient</v>
      </c>
      <c r="C13" s="20" t="s">
        <v>288</v>
      </c>
      <c r="E13" s="20" t="str">
        <f t="shared" si="0"/>
        <v>* header.informationRecipient -&gt; ##34#.extension('http://hl7.org/fhir/StructureDefinition/cqf-receivingOrganization')##34#</v>
      </c>
      <c r="H13" s="13"/>
      <c r="I13" s="13"/>
      <c r="J13" s="13"/>
      <c r="K13" s="13"/>
      <c r="L13" s="13"/>
      <c r="M13" s="13"/>
      <c r="N13" s="13"/>
      <c r="O13" s="13"/>
    </row>
    <row r="14" spans="1:15" x14ac:dyDescent="0.75">
      <c r="A14" s="19"/>
      <c r="B14" s="19" t="str">
        <f>Report!B12</f>
        <v>header.validator</v>
      </c>
      <c r="C14" s="20" t="s">
        <v>283</v>
      </c>
      <c r="E14" s="20" t="str">
        <f t="shared" si="0"/>
        <v>* header.validator -&gt; ##34#Composition.attester##34#</v>
      </c>
      <c r="H14" s="13"/>
      <c r="I14" s="13"/>
      <c r="J14" s="13"/>
      <c r="K14" s="13"/>
      <c r="L14" s="13"/>
      <c r="M14" s="13"/>
      <c r="N14" s="13"/>
      <c r="O14" s="13"/>
    </row>
    <row r="15" spans="1:15" x14ac:dyDescent="0.75">
      <c r="A15" s="19"/>
      <c r="B15" s="19" t="str">
        <f>Report!B13</f>
        <v>header.metadata</v>
      </c>
      <c r="C15" s="20" t="s">
        <v>291</v>
      </c>
      <c r="E15" s="20" t="str">
        <f t="shared" si="0"/>
        <v>* header.metadata -&gt; ##34#Composition##34#</v>
      </c>
      <c r="H15" s="13"/>
      <c r="I15" s="13"/>
      <c r="J15" s="13"/>
      <c r="K15" s="13"/>
      <c r="L15" s="13"/>
      <c r="M15" s="13"/>
      <c r="N15" s="13"/>
      <c r="O15" s="13"/>
    </row>
    <row r="16" spans="1:15" x14ac:dyDescent="0.75">
      <c r="A16" s="19"/>
      <c r="B16" s="19" t="str">
        <f>Report!B14</f>
        <v>header.metadata.type</v>
      </c>
      <c r="C16" s="20" t="s">
        <v>290</v>
      </c>
      <c r="E16" s="20" t="str">
        <f t="shared" si="0"/>
        <v>* header.metadata.type -&gt; ##34#Composition.type##34#</v>
      </c>
      <c r="H16" s="13"/>
      <c r="I16" s="13"/>
      <c r="J16" s="13"/>
      <c r="K16" s="13"/>
      <c r="L16" s="13"/>
      <c r="M16" s="13"/>
      <c r="N16" s="13"/>
      <c r="O16" s="13"/>
    </row>
    <row r="17" spans="1:5" x14ac:dyDescent="0.75">
      <c r="A17" s="19"/>
      <c r="B17" s="19" t="str">
        <f>Report!B15</f>
        <v>header.metadata.status</v>
      </c>
      <c r="C17" s="20" t="s">
        <v>286</v>
      </c>
      <c r="E17" s="20" t="str">
        <f t="shared" si="0"/>
        <v>* header.metadata.status -&gt; ##34#Composition.status##34#</v>
      </c>
    </row>
    <row r="18" spans="1:5" x14ac:dyDescent="0.75">
      <c r="A18" s="19"/>
      <c r="B18" s="19" t="str">
        <f>Report!B16</f>
        <v>header.metadata.dateTime</v>
      </c>
      <c r="C18" s="20" t="s">
        <v>285</v>
      </c>
      <c r="E18" s="20" t="str">
        <f t="shared" si="0"/>
        <v>* header.metadata.dateTime -&gt; ##34#Bundle.timestamp##34#</v>
      </c>
    </row>
    <row r="19" spans="1:5" x14ac:dyDescent="0.75">
      <c r="A19" s="19"/>
      <c r="B19" s="19" t="str">
        <f>Report!B17</f>
        <v>header.metadata.title</v>
      </c>
      <c r="C19" s="20" t="s">
        <v>287</v>
      </c>
      <c r="E19" s="20" t="str">
        <f t="shared" si="0"/>
        <v>* header.metadata.title -&gt; ##34#Composition.title##34#</v>
      </c>
    </row>
    <row r="20" spans="1:5" x14ac:dyDescent="0.75">
      <c r="A20" s="19"/>
      <c r="B20" s="19" t="str">
        <f>Report!B18</f>
        <v>header.metadata.custodian</v>
      </c>
      <c r="C20" s="20" t="s">
        <v>289</v>
      </c>
      <c r="E20" s="20" t="str">
        <f t="shared" si="0"/>
        <v>* header.metadata.custodian -&gt; ##34#Composition.custodian##34#</v>
      </c>
    </row>
    <row r="21" spans="1:5" ht="29.5" x14ac:dyDescent="0.75">
      <c r="B21" s="19" t="str">
        <f>Report!B19</f>
        <v>order</v>
      </c>
      <c r="C21" s="20" t="s">
        <v>352</v>
      </c>
    </row>
    <row r="22" spans="1:5" ht="29.5" x14ac:dyDescent="0.75">
      <c r="B22" s="19" t="str">
        <f>Report!B20</f>
        <v>specimen</v>
      </c>
      <c r="C22" s="20" t="s">
        <v>353</v>
      </c>
    </row>
    <row r="23" spans="1:5" x14ac:dyDescent="0.75">
      <c r="B23" s="19" t="str">
        <f>Report!B21</f>
        <v>result</v>
      </c>
      <c r="C23" s="20" t="s">
        <v>354</v>
      </c>
    </row>
    <row r="24" spans="1:5" x14ac:dyDescent="0.75">
      <c r="B24" s="19"/>
      <c r="C24" s="20"/>
      <c r="E24" s="31"/>
    </row>
    <row r="25" spans="1:5" x14ac:dyDescent="0.75">
      <c r="B25" s="19"/>
      <c r="C25" s="20"/>
    </row>
    <row r="26" spans="1:5" x14ac:dyDescent="0.75">
      <c r="B26" s="19"/>
      <c r="C26" s="20"/>
    </row>
    <row r="27" spans="1:5" x14ac:dyDescent="0.75">
      <c r="B27" s="19"/>
    </row>
    <row r="28" spans="1:5" x14ac:dyDescent="0.75">
      <c r="B28" s="19"/>
      <c r="C28" s="20"/>
    </row>
    <row r="29" spans="1:5" x14ac:dyDescent="0.75">
      <c r="B29" s="19"/>
    </row>
    <row r="30" spans="1:5" x14ac:dyDescent="0.75">
      <c r="B30" s="19"/>
    </row>
    <row r="31" spans="1:5" x14ac:dyDescent="0.75">
      <c r="B31" s="19"/>
    </row>
    <row r="32" spans="1:5" x14ac:dyDescent="0.75">
      <c r="B32" s="19"/>
    </row>
    <row r="33" spans="2:2" x14ac:dyDescent="0.75">
      <c r="B33" s="19"/>
    </row>
    <row r="34" spans="2:2" x14ac:dyDescent="0.75">
      <c r="B34" s="1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C206"/>
  <sheetViews>
    <sheetView topLeftCell="A14" workbookViewId="0">
      <selection activeCell="F28" sqref="F28"/>
    </sheetView>
  </sheetViews>
  <sheetFormatPr defaultRowHeight="14.75" x14ac:dyDescent="0.75"/>
  <cols>
    <col min="1" max="2" width="8.7265625" style="17"/>
    <col min="3" max="3" width="108.2265625" style="20" customWidth="1"/>
    <col min="4" max="16384" width="8.7265625" style="17"/>
  </cols>
  <sheetData>
    <row r="1" spans="3:3" x14ac:dyDescent="0.75">
      <c r="C1" s="41" t="str">
        <f>Report!I1</f>
        <v>// -------------------------------------------------------------------------------</v>
      </c>
    </row>
    <row r="2" spans="3:3" x14ac:dyDescent="0.75">
      <c r="C2" s="42" t="str">
        <f>Report!I2</f>
        <v>//  Logical Model</v>
      </c>
    </row>
    <row r="3" spans="3:3" x14ac:dyDescent="0.75">
      <c r="C3" s="42" t="str">
        <f>Report!I3</f>
        <v>// -------------------------------------------------------------------------------</v>
      </c>
    </row>
    <row r="4" spans="3:3" x14ac:dyDescent="0.75">
      <c r="C4" s="34" t="str">
        <f>Report!I4</f>
        <v>Logical: LabReportEhn</v>
      </c>
    </row>
    <row r="5" spans="3:3" x14ac:dyDescent="0.75">
      <c r="C5" s="34" t="str">
        <f>Report!I5</f>
        <v>Id: LabReport</v>
      </c>
    </row>
    <row r="6" spans="3:3" x14ac:dyDescent="0.75">
      <c r="C6" s="34" t="str">
        <f>Report!I6</f>
        <v>Title: ##34#Laboratory Report##34#</v>
      </c>
    </row>
    <row r="7" spans="3:3" ht="29.5" x14ac:dyDescent="0.75">
      <c r="C7" s="34" t="str">
        <f>Report!I7</f>
        <v>Description:  ##334#Laboratory Report##334#</v>
      </c>
    </row>
    <row r="8" spans="3:3" ht="29.5" x14ac:dyDescent="0.75">
      <c r="C8" s="20" t="str">
        <f>IF(Report!I8="","//--- END",Report!I8)</f>
        <v>* header 1..1 BackboneElement ##34#A.1 Report header data elements##34# ##334#A.1 Report header data elements##334#</v>
      </c>
    </row>
    <row r="9" spans="3:3" ht="29.5" x14ac:dyDescent="0.75">
      <c r="C9" s="20" t="str">
        <f>IF(Report!I9="","//--- END",Report!I9)</f>
        <v>* header.subject 1..1 http://hl7.eu/fhir/ig/xeh/StructureDefinition/Subject ##34#A.1.1 - A1.2 Patient/subject##34# ##334#A.1.1 Identification of the patient/subject and A.1.2 Patient/subject related contact information  ##334#</v>
      </c>
    </row>
    <row r="10" spans="3:3" ht="29.5" x14ac:dyDescent="0.75">
      <c r="C10" s="20" t="str">
        <f>IF(Report!I10="","//--- END",Report!I10)</f>
        <v>* header.paymentData 0..1 BackboneElement ##34#A.1.3 Health insurance and payment information##34# ##334#A.1.3 Health insurance and payment information##334#</v>
      </c>
    </row>
    <row r="11" spans="3:3" ht="44.25" x14ac:dyDescent="0.75">
      <c r="C11" s="20" t="str">
        <f>IF(Report!I11="","//--- END",Report!I11)</f>
        <v>* header.informationRecipient 0..1 BackboneElement ##34#A.1.4 Information recipient##34# ##334#A.1.4 Information recipient (intended recipient or recipients of the report, additional recipients might be identified by the ordering party, e.g. GP, other specialist), if applicable##334#</v>
      </c>
    </row>
    <row r="12" spans="3:3" ht="29.5" x14ac:dyDescent="0.75">
      <c r="C12" s="20" t="str">
        <f>IF(Report!I12="","//--- END",Report!I12)</f>
        <v>* header.validator 0..* BackboneElement ##34#A.1.7 Result validator##34# ##334#A.1.7 Result validator##334#</v>
      </c>
    </row>
    <row r="13" spans="3:3" ht="29.5" x14ac:dyDescent="0.75">
      <c r="C13" s="20" t="str">
        <f>IF(Report!I13="","//--- END",Report!I13)</f>
        <v>* header.metadata 1..1 CodeableConcept ##34#A.1.8 Laboratory report metadata##34# ##334#A.1.8 Laboratory report metadata##334#</v>
      </c>
    </row>
    <row r="14" spans="3:3" ht="29.5" x14ac:dyDescent="0.75">
      <c r="C14" s="20" t="str">
        <f>IF(Report!I14="","//--- END",Report!I14)</f>
        <v>* header.metadata.type 1..1 CodeableConcept ##34#A.1.8.1 Document type##34# ##334#A coded type of the document. Fixed value "Laboratory report" - Preferred system(s): LOINC##334#</v>
      </c>
    </row>
    <row r="15" spans="3:3" ht="29.5" x14ac:dyDescent="0.75">
      <c r="C15" s="20" t="str">
        <f>IF(Report!I15="","//--- END",Report!I15)</f>
        <v>* header.metadata.status 1..1 CodeableConcept ##34#A.1.8.2 Document status##34# ##334#The status of the laboratory test result report. E.g., preliminary, final. - Preferred system(s): hl7:DiagnosticReportStatus##334#</v>
      </c>
    </row>
    <row r="16" spans="3:3" ht="29.5" x14ac:dyDescent="0.75">
      <c r="C16" s="20" t="str">
        <f>IF(Report!I16="","//--- END",Report!I16)</f>
        <v>* header.metadata.dateTime 1..1 dateTime ##34#A.1.8.3 Report date and time##34# ##334#Date and time of the result report creation. - Preferred system(s): ISO 8601##334#</v>
      </c>
    </row>
    <row r="17" spans="3:3" ht="29.5" x14ac:dyDescent="0.75">
      <c r="C17" s="20" t="str">
        <f>IF(Report!I17="","//--- END",Report!I17)</f>
        <v>* header.metadata.title 0..1 string ##34#A.1.8.4 Document title##34# ##334#Document title, e.g. "Laboratory Result report" - Preferred system(s): ##334#</v>
      </c>
    </row>
    <row r="18" spans="3:3" ht="29.5" x14ac:dyDescent="0.75">
      <c r="C18" s="20" t="str">
        <f>IF(Report!I18="","//--- END",Report!I18)</f>
        <v>* header.metadata.custodian 0..1 BackboneElement ##34#A.1.8.5 Report custodian##34# ##334#Organisation that is in charge of maintaining the laboratory report - Preferred system(s): ##334#</v>
      </c>
    </row>
    <row r="19" spans="3:3" ht="29.5" x14ac:dyDescent="0.75">
      <c r="C19" s="20" t="str">
        <f>IF(Report!I19="","//--- END",Report!I19)</f>
        <v>* order 0..* BackboneElement ##34#A.2-A.3 Order##34# ##334#A.2 Order information (Laboratory Result Report could respond to multiple test orders)
A.3 Order reason (Laboratory Result Report could respond to multiple reasons)
##334#</v>
      </c>
    </row>
    <row r="20" spans="3:3" ht="29.5" x14ac:dyDescent="0.75">
      <c r="C20" s="20" t="str">
        <f>IF(Report!I20="","//--- END",Report!I20)</f>
        <v>* specimen 0..* BackboneElement ##34#A.4 Specimen information##34# ##334#A.4 Specimen information##334#</v>
      </c>
    </row>
    <row r="21" spans="3:3" ht="29.5" x14ac:dyDescent="0.75">
      <c r="C21" s="20" t="str">
        <f>IF(Report!I21="","//--- END",Report!I21)</f>
        <v>* result 0..* BackboneElement ##34#A.5 Results data elements##34# ##334#A.5 Results data elements##334#</v>
      </c>
    </row>
    <row r="22" spans="3:3" ht="29.5" x14ac:dyDescent="0.75">
      <c r="C22" s="20" t="str">
        <f>IF(Report!I22="","//--- END",Report!I22)</f>
        <v>//--- END</v>
      </c>
    </row>
    <row r="30" spans="3:3" x14ac:dyDescent="0.75">
      <c r="C30" s="41" t="str">
        <f>'Report-Map-1'!E1</f>
        <v>// -------------------------------------------------------------------------------</v>
      </c>
    </row>
    <row r="31" spans="3:3" x14ac:dyDescent="0.75">
      <c r="C31" s="42" t="str">
        <f>'Report-Map-1'!E2</f>
        <v>//  Map to FHIR R4</v>
      </c>
    </row>
    <row r="32" spans="3:3" x14ac:dyDescent="0.75">
      <c r="C32" s="42" t="str">
        <f>'Report-Map-1'!E3</f>
        <v>// -------------------------------------------------------------------------------</v>
      </c>
    </row>
    <row r="33" spans="3:3" x14ac:dyDescent="0.75">
      <c r="C33" s="20" t="str">
        <f>'Report-Map-1'!E4</f>
        <v>Mapping: eHNLab2Fhir</v>
      </c>
    </row>
    <row r="34" spans="3:3" x14ac:dyDescent="0.75">
      <c r="C34" s="20" t="str">
        <f>'Report-Map-1'!E5</f>
        <v>Id: fhir</v>
      </c>
    </row>
    <row r="35" spans="3:3" x14ac:dyDescent="0.75">
      <c r="C35" s="20" t="str">
        <f>'Report-Map-1'!E6</f>
        <v>Title: ##34#eHN Lab model to FHIR R4 Map##34#</v>
      </c>
    </row>
    <row r="36" spans="3:3" x14ac:dyDescent="0.75">
      <c r="C36" s="20" t="str">
        <f>'Report-Map-1'!E7</f>
        <v>Source: LabReport</v>
      </c>
    </row>
    <row r="37" spans="3:3" x14ac:dyDescent="0.75">
      <c r="C37" s="20" t="str">
        <f>'Report-Map-1'!E8</f>
        <v>Target: ##34#hl7.org/fhir/r4##34#</v>
      </c>
    </row>
    <row r="39" spans="3:3" x14ac:dyDescent="0.75">
      <c r="C39" s="20" t="str">
        <f>'Report-Map-1'!E9</f>
        <v>* -&gt; ##34#Bundle.conformsTo('http://hl7.eu/fhir/ig/xeh/StructureDefinition/Bundle-lab-xeh')##34#</v>
      </c>
    </row>
    <row r="40" spans="3:3" x14ac:dyDescent="0.75">
      <c r="C40" s="20" t="str">
        <f>IF('Report-Map-1'!E10="","// --END",'Report-Map-1'!E10)</f>
        <v>* header -&gt; ##34#Composition.conformsTo('http://hl7.eu/fhir/ig/xeh/StructureDefinition/Composition-lab-xeh')##34#</v>
      </c>
    </row>
    <row r="41" spans="3:3" x14ac:dyDescent="0.75">
      <c r="C41" s="20" t="str">
        <f>IF('Report-Map-1'!E11="","// --END",'Report-Map-1'!E11)</f>
        <v>* header.subject -&gt; ##34#Composition.subject##34#</v>
      </c>
    </row>
    <row r="42" spans="3:3" x14ac:dyDescent="0.75">
      <c r="C42" s="20" t="str">
        <f>IF('Report-Map-1'!E12="","// --END",'Report-Map-1'!E12)</f>
        <v>* header.paymentData -&gt; ##34#To be mapped##34#</v>
      </c>
    </row>
    <row r="43" spans="3:3" x14ac:dyDescent="0.75">
      <c r="C43" s="20" t="str">
        <f>IF('Report-Map-1'!E13="","// --END",'Report-Map-1'!E13)</f>
        <v>* header.informationRecipient -&gt; ##34#.extension('http://hl7.org/fhir/StructureDefinition/cqf-receivingOrganization')##34#</v>
      </c>
    </row>
    <row r="44" spans="3:3" x14ac:dyDescent="0.75">
      <c r="C44" s="20" t="str">
        <f>IF('Report-Map-1'!E14="","// --END",'Report-Map-1'!E14)</f>
        <v>* header.validator -&gt; ##34#Composition.attester##34#</v>
      </c>
    </row>
    <row r="45" spans="3:3" x14ac:dyDescent="0.75">
      <c r="C45" s="20" t="str">
        <f>IF('Report-Map-1'!E15="","// --END",'Report-Map-1'!E15)</f>
        <v>* header.metadata -&gt; ##34#Composition##34#</v>
      </c>
    </row>
    <row r="46" spans="3:3" x14ac:dyDescent="0.75">
      <c r="C46" s="20" t="str">
        <f>IF('Report-Map-1'!E16="","// --END",'Report-Map-1'!E16)</f>
        <v>* header.metadata.type -&gt; ##34#Composition.type##34#</v>
      </c>
    </row>
    <row r="47" spans="3:3" x14ac:dyDescent="0.75">
      <c r="C47" s="20" t="str">
        <f>IF('Report-Map-1'!E17="","// --END",'Report-Map-1'!E17)</f>
        <v>* header.metadata.status -&gt; ##34#Composition.status##34#</v>
      </c>
    </row>
    <row r="48" spans="3:3" x14ac:dyDescent="0.75">
      <c r="C48" s="20" t="str">
        <f>IF('Report-Map-1'!E18="","// --END",'Report-Map-1'!E18)</f>
        <v>* header.metadata.dateTime -&gt; ##34#Bundle.timestamp##34#</v>
      </c>
    </row>
    <row r="49" spans="3:3" x14ac:dyDescent="0.75">
      <c r="C49" s="20" t="str">
        <f>IF('Report-Map-1'!E19="","// --END",'Report-Map-1'!E19)</f>
        <v>* header.metadata.title -&gt; ##34#Composition.title##34#</v>
      </c>
    </row>
    <row r="50" spans="3:3" x14ac:dyDescent="0.75">
      <c r="C50" s="20" t="str">
        <f>IF('Report-Map-1'!E20="","// --END",'Report-Map-1'!E20)</f>
        <v>* header.metadata.custodian -&gt; ##34#Composition.custodian##34#</v>
      </c>
    </row>
    <row r="51" spans="3:3" x14ac:dyDescent="0.75">
      <c r="C51" s="20" t="str">
        <f>IF('Report-Map-1'!E21="","// --END",'Report-Map-1'!E21)</f>
        <v>// --END</v>
      </c>
    </row>
    <row r="112" spans="3:3" x14ac:dyDescent="0.75">
      <c r="C112" s="20" t="e">
        <f>#REF!</f>
        <v>#REF!</v>
      </c>
    </row>
    <row r="113" spans="3:3" x14ac:dyDescent="0.75">
      <c r="C113" s="20" t="e">
        <f>#REF!</f>
        <v>#REF!</v>
      </c>
    </row>
    <row r="114" spans="3:3" x14ac:dyDescent="0.75">
      <c r="C114" s="20" t="e">
        <f>#REF!</f>
        <v>#REF!</v>
      </c>
    </row>
    <row r="115" spans="3:3" x14ac:dyDescent="0.75">
      <c r="C115" s="20" t="e">
        <f>#REF!</f>
        <v>#REF!</v>
      </c>
    </row>
    <row r="116" spans="3:3" x14ac:dyDescent="0.75">
      <c r="C116" s="20" t="e">
        <f>#REF!</f>
        <v>#REF!</v>
      </c>
    </row>
    <row r="117" spans="3:3" x14ac:dyDescent="0.75">
      <c r="C117" s="20" t="e">
        <f>#REF!</f>
        <v>#REF!</v>
      </c>
    </row>
    <row r="118" spans="3:3" x14ac:dyDescent="0.75">
      <c r="C118" s="20" t="e">
        <f>#REF!</f>
        <v>#REF!</v>
      </c>
    </row>
    <row r="119" spans="3:3" x14ac:dyDescent="0.75">
      <c r="C119" s="20" t="e">
        <f>#REF!</f>
        <v>#REF!</v>
      </c>
    </row>
    <row r="120" spans="3:3" x14ac:dyDescent="0.75">
      <c r="C120" s="20" t="e">
        <f>#REF!</f>
        <v>#REF!</v>
      </c>
    </row>
    <row r="121" spans="3:3" x14ac:dyDescent="0.75">
      <c r="C121" s="20" t="e">
        <f>#REF!</f>
        <v>#REF!</v>
      </c>
    </row>
    <row r="122" spans="3:3" x14ac:dyDescent="0.75">
      <c r="C122" s="20" t="e">
        <f>#REF!</f>
        <v>#REF!</v>
      </c>
    </row>
    <row r="123" spans="3:3" x14ac:dyDescent="0.75">
      <c r="C123" s="20" t="e">
        <f>#REF!</f>
        <v>#REF!</v>
      </c>
    </row>
    <row r="124" spans="3:3" x14ac:dyDescent="0.75">
      <c r="C124" s="20" t="e">
        <f>#REF!</f>
        <v>#REF!</v>
      </c>
    </row>
    <row r="125" spans="3:3" x14ac:dyDescent="0.75">
      <c r="C125" s="20" t="e">
        <f>#REF!</f>
        <v>#REF!</v>
      </c>
    </row>
    <row r="126" spans="3:3" x14ac:dyDescent="0.75">
      <c r="C126" s="20" t="e">
        <f>#REF!</f>
        <v>#REF!</v>
      </c>
    </row>
    <row r="127" spans="3:3" x14ac:dyDescent="0.75">
      <c r="C127" s="20" t="e">
        <f>#REF!</f>
        <v>#REF!</v>
      </c>
    </row>
    <row r="128" spans="3:3" x14ac:dyDescent="0.75">
      <c r="C128" s="20" t="e">
        <f>#REF!</f>
        <v>#REF!</v>
      </c>
    </row>
    <row r="129" spans="3:3" x14ac:dyDescent="0.75">
      <c r="C129" s="20" t="e">
        <f>#REF!</f>
        <v>#REF!</v>
      </c>
    </row>
    <row r="130" spans="3:3" x14ac:dyDescent="0.75">
      <c r="C130" s="20" t="e">
        <f>#REF!</f>
        <v>#REF!</v>
      </c>
    </row>
    <row r="131" spans="3:3" x14ac:dyDescent="0.75">
      <c r="C131" s="20" t="e">
        <f>#REF!</f>
        <v>#REF!</v>
      </c>
    </row>
    <row r="132" spans="3:3" x14ac:dyDescent="0.75">
      <c r="C132" s="20" t="e">
        <f>#REF!</f>
        <v>#REF!</v>
      </c>
    </row>
    <row r="133" spans="3:3" x14ac:dyDescent="0.75">
      <c r="C133" s="20" t="e">
        <f>#REF!</f>
        <v>#REF!</v>
      </c>
    </row>
    <row r="134" spans="3:3" x14ac:dyDescent="0.75">
      <c r="C134" s="20" t="e">
        <f>#REF!</f>
        <v>#REF!</v>
      </c>
    </row>
    <row r="135" spans="3:3" x14ac:dyDescent="0.75">
      <c r="C135" s="20" t="e">
        <f>#REF!</f>
        <v>#REF!</v>
      </c>
    </row>
    <row r="136" spans="3:3" x14ac:dyDescent="0.75">
      <c r="C136" s="20" t="e">
        <f>#REF!</f>
        <v>#REF!</v>
      </c>
    </row>
    <row r="137" spans="3:3" x14ac:dyDescent="0.75">
      <c r="C137" s="20" t="e">
        <f>#REF!</f>
        <v>#REF!</v>
      </c>
    </row>
    <row r="138" spans="3:3" x14ac:dyDescent="0.75">
      <c r="C138" s="20" t="e">
        <f>#REF!</f>
        <v>#REF!</v>
      </c>
    </row>
    <row r="139" spans="3:3" x14ac:dyDescent="0.75">
      <c r="C139" s="20" t="e">
        <f>#REF!</f>
        <v>#REF!</v>
      </c>
    </row>
    <row r="140" spans="3:3" x14ac:dyDescent="0.75">
      <c r="C140" s="20" t="e">
        <f>#REF!</f>
        <v>#REF!</v>
      </c>
    </row>
    <row r="141" spans="3:3" x14ac:dyDescent="0.75">
      <c r="C141" s="20" t="e">
        <f>#REF!</f>
        <v>#REF!</v>
      </c>
    </row>
    <row r="142" spans="3:3" x14ac:dyDescent="0.75">
      <c r="C142" s="20" t="e">
        <f>#REF!</f>
        <v>#REF!</v>
      </c>
    </row>
    <row r="143" spans="3:3" x14ac:dyDescent="0.75">
      <c r="C143" s="20" t="e">
        <f>#REF!</f>
        <v>#REF!</v>
      </c>
    </row>
    <row r="144" spans="3:3" x14ac:dyDescent="0.75">
      <c r="C144" s="20" t="e">
        <f>#REF!</f>
        <v>#REF!</v>
      </c>
    </row>
    <row r="145" spans="3:3" x14ac:dyDescent="0.75">
      <c r="C145" s="20" t="e">
        <f>#REF!</f>
        <v>#REF!</v>
      </c>
    </row>
    <row r="146" spans="3:3" x14ac:dyDescent="0.75">
      <c r="C146" s="20" t="e">
        <f>#REF!</f>
        <v>#REF!</v>
      </c>
    </row>
    <row r="147" spans="3:3" x14ac:dyDescent="0.75">
      <c r="C147" s="20" t="e">
        <f>#REF!</f>
        <v>#REF!</v>
      </c>
    </row>
    <row r="148" spans="3:3" x14ac:dyDescent="0.75">
      <c r="C148" s="20" t="e">
        <f>#REF!</f>
        <v>#REF!</v>
      </c>
    </row>
    <row r="149" spans="3:3" x14ac:dyDescent="0.75">
      <c r="C149" s="20" t="e">
        <f>#REF!</f>
        <v>#REF!</v>
      </c>
    </row>
    <row r="150" spans="3:3" x14ac:dyDescent="0.75">
      <c r="C150" s="20" t="e">
        <f>#REF!</f>
        <v>#REF!</v>
      </c>
    </row>
    <row r="151" spans="3:3" x14ac:dyDescent="0.75">
      <c r="C151" s="20" t="e">
        <f>#REF!</f>
        <v>#REF!</v>
      </c>
    </row>
    <row r="152" spans="3:3" x14ac:dyDescent="0.75">
      <c r="C152" s="20" t="e">
        <f>#REF!</f>
        <v>#REF!</v>
      </c>
    </row>
    <row r="153" spans="3:3" x14ac:dyDescent="0.75">
      <c r="C153" s="20" t="e">
        <f>#REF!</f>
        <v>#REF!</v>
      </c>
    </row>
    <row r="154" spans="3:3" x14ac:dyDescent="0.75">
      <c r="C154" s="20" t="e">
        <f>#REF!</f>
        <v>#REF!</v>
      </c>
    </row>
    <row r="155" spans="3:3" x14ac:dyDescent="0.75">
      <c r="C155" s="20" t="e">
        <f>#REF!</f>
        <v>#REF!</v>
      </c>
    </row>
    <row r="156" spans="3:3" x14ac:dyDescent="0.75">
      <c r="C156" s="20" t="e">
        <f>#REF!</f>
        <v>#REF!</v>
      </c>
    </row>
    <row r="157" spans="3:3" x14ac:dyDescent="0.75">
      <c r="C157" s="20" t="e">
        <f>#REF!</f>
        <v>#REF!</v>
      </c>
    </row>
    <row r="158" spans="3:3" x14ac:dyDescent="0.75">
      <c r="C158" s="20" t="e">
        <f>#REF!</f>
        <v>#REF!</v>
      </c>
    </row>
    <row r="159" spans="3:3" x14ac:dyDescent="0.75">
      <c r="C159" s="20" t="e">
        <f>#REF!</f>
        <v>#REF!</v>
      </c>
    </row>
    <row r="160" spans="3:3" x14ac:dyDescent="0.75">
      <c r="C160" s="20" t="e">
        <f>#REF!</f>
        <v>#REF!</v>
      </c>
    </row>
    <row r="161" spans="3:3" x14ac:dyDescent="0.75">
      <c r="C161" s="20" t="e">
        <f>#REF!</f>
        <v>#REF!</v>
      </c>
    </row>
    <row r="162" spans="3:3" x14ac:dyDescent="0.75">
      <c r="C162" s="20" t="e">
        <f>#REF!</f>
        <v>#REF!</v>
      </c>
    </row>
    <row r="163" spans="3:3" x14ac:dyDescent="0.75">
      <c r="C163" s="20" t="e">
        <f>#REF!</f>
        <v>#REF!</v>
      </c>
    </row>
    <row r="164" spans="3:3" x14ac:dyDescent="0.75">
      <c r="C164" s="20" t="e">
        <f>#REF!</f>
        <v>#REF!</v>
      </c>
    </row>
    <row r="165" spans="3:3" x14ac:dyDescent="0.75">
      <c r="C165" s="20" t="e">
        <f>#REF!</f>
        <v>#REF!</v>
      </c>
    </row>
    <row r="166" spans="3:3" x14ac:dyDescent="0.75">
      <c r="C166" s="20" t="e">
        <f>#REF!</f>
        <v>#REF!</v>
      </c>
    </row>
    <row r="167" spans="3:3" x14ac:dyDescent="0.75">
      <c r="C167" s="20" t="e">
        <f>#REF!</f>
        <v>#REF!</v>
      </c>
    </row>
    <row r="168" spans="3:3" x14ac:dyDescent="0.75">
      <c r="C168" s="20" t="e">
        <f>#REF!</f>
        <v>#REF!</v>
      </c>
    </row>
    <row r="169" spans="3:3" x14ac:dyDescent="0.75">
      <c r="C169" s="20" t="e">
        <f>#REF!</f>
        <v>#REF!</v>
      </c>
    </row>
    <row r="170" spans="3:3" x14ac:dyDescent="0.75">
      <c r="C170" s="20" t="e">
        <f>#REF!</f>
        <v>#REF!</v>
      </c>
    </row>
    <row r="171" spans="3:3" x14ac:dyDescent="0.75">
      <c r="C171" s="20" t="e">
        <f>#REF!</f>
        <v>#REF!</v>
      </c>
    </row>
    <row r="172" spans="3:3" x14ac:dyDescent="0.75">
      <c r="C172" s="20" t="e">
        <f>#REF!</f>
        <v>#REF!</v>
      </c>
    </row>
    <row r="173" spans="3:3" x14ac:dyDescent="0.75">
      <c r="C173" s="20" t="e">
        <f>#REF!</f>
        <v>#REF!</v>
      </c>
    </row>
    <row r="174" spans="3:3" x14ac:dyDescent="0.75">
      <c r="C174" s="20" t="e">
        <f>#REF!</f>
        <v>#REF!</v>
      </c>
    </row>
    <row r="175" spans="3:3" x14ac:dyDescent="0.75">
      <c r="C175" s="20" t="e">
        <f>#REF!</f>
        <v>#REF!</v>
      </c>
    </row>
    <row r="176" spans="3:3" x14ac:dyDescent="0.75">
      <c r="C176" s="20" t="e">
        <f>#REF!</f>
        <v>#REF!</v>
      </c>
    </row>
    <row r="177" spans="3:3" x14ac:dyDescent="0.75">
      <c r="C177" s="20" t="e">
        <f>#REF!</f>
        <v>#REF!</v>
      </c>
    </row>
    <row r="178" spans="3:3" x14ac:dyDescent="0.75">
      <c r="C178" s="20" t="e">
        <f>#REF!</f>
        <v>#REF!</v>
      </c>
    </row>
    <row r="179" spans="3:3" x14ac:dyDescent="0.75">
      <c r="C179" s="20" t="e">
        <f>#REF!</f>
        <v>#REF!</v>
      </c>
    </row>
    <row r="180" spans="3:3" x14ac:dyDescent="0.75">
      <c r="C180" s="20" t="e">
        <f>#REF!</f>
        <v>#REF!</v>
      </c>
    </row>
    <row r="181" spans="3:3" x14ac:dyDescent="0.75">
      <c r="C181" s="20" t="e">
        <f>#REF!</f>
        <v>#REF!</v>
      </c>
    </row>
    <row r="182" spans="3:3" x14ac:dyDescent="0.75">
      <c r="C182" s="20" t="e">
        <f>#REF!</f>
        <v>#REF!</v>
      </c>
    </row>
    <row r="183" spans="3:3" x14ac:dyDescent="0.75">
      <c r="C183" s="20" t="e">
        <f>#REF!</f>
        <v>#REF!</v>
      </c>
    </row>
    <row r="184" spans="3:3" x14ac:dyDescent="0.75">
      <c r="C184" s="20" t="e">
        <f>#REF!</f>
        <v>#REF!</v>
      </c>
    </row>
    <row r="185" spans="3:3" x14ac:dyDescent="0.75">
      <c r="C185" s="20" t="e">
        <f>#REF!</f>
        <v>#REF!</v>
      </c>
    </row>
    <row r="186" spans="3:3" x14ac:dyDescent="0.75">
      <c r="C186" s="20" t="e">
        <f>#REF!</f>
        <v>#REF!</v>
      </c>
    </row>
    <row r="187" spans="3:3" x14ac:dyDescent="0.75">
      <c r="C187" s="20" t="e">
        <f>#REF!</f>
        <v>#REF!</v>
      </c>
    </row>
    <row r="188" spans="3:3" x14ac:dyDescent="0.75">
      <c r="C188" s="20" t="e">
        <f>#REF!</f>
        <v>#REF!</v>
      </c>
    </row>
    <row r="189" spans="3:3" x14ac:dyDescent="0.75">
      <c r="C189" s="20" t="e">
        <f>#REF!</f>
        <v>#REF!</v>
      </c>
    </row>
    <row r="190" spans="3:3" x14ac:dyDescent="0.75">
      <c r="C190" s="20" t="e">
        <f>#REF!</f>
        <v>#REF!</v>
      </c>
    </row>
    <row r="191" spans="3:3" x14ac:dyDescent="0.75">
      <c r="C191" s="20" t="e">
        <f>#REF!</f>
        <v>#REF!</v>
      </c>
    </row>
    <row r="192" spans="3:3" x14ac:dyDescent="0.75">
      <c r="C192" s="20" t="e">
        <f>#REF!</f>
        <v>#REF!</v>
      </c>
    </row>
    <row r="193" spans="3:3" x14ac:dyDescent="0.75">
      <c r="C193" s="20" t="e">
        <f>#REF!</f>
        <v>#REF!</v>
      </c>
    </row>
    <row r="194" spans="3:3" x14ac:dyDescent="0.75">
      <c r="C194" s="20" t="e">
        <f>#REF!</f>
        <v>#REF!</v>
      </c>
    </row>
    <row r="195" spans="3:3" x14ac:dyDescent="0.75">
      <c r="C195" s="20" t="e">
        <f>#REF!</f>
        <v>#REF!</v>
      </c>
    </row>
    <row r="196" spans="3:3" x14ac:dyDescent="0.75">
      <c r="C196" s="20" t="e">
        <f>#REF!</f>
        <v>#REF!</v>
      </c>
    </row>
    <row r="197" spans="3:3" x14ac:dyDescent="0.75">
      <c r="C197" s="20" t="e">
        <f>#REF!</f>
        <v>#REF!</v>
      </c>
    </row>
    <row r="198" spans="3:3" x14ac:dyDescent="0.75">
      <c r="C198" s="20" t="e">
        <f>#REF!</f>
        <v>#REF!</v>
      </c>
    </row>
    <row r="199" spans="3:3" x14ac:dyDescent="0.75">
      <c r="C199" s="20" t="e">
        <f>#REF!</f>
        <v>#REF!</v>
      </c>
    </row>
    <row r="200" spans="3:3" x14ac:dyDescent="0.75">
      <c r="C200" s="20" t="e">
        <f>#REF!</f>
        <v>#REF!</v>
      </c>
    </row>
    <row r="201" spans="3:3" x14ac:dyDescent="0.75">
      <c r="C201" s="20" t="e">
        <f>#REF!</f>
        <v>#REF!</v>
      </c>
    </row>
    <row r="202" spans="3:3" x14ac:dyDescent="0.75">
      <c r="C202" s="20" t="e">
        <f>#REF!</f>
        <v>#REF!</v>
      </c>
    </row>
    <row r="203" spans="3:3" x14ac:dyDescent="0.75">
      <c r="C203" s="20" t="e">
        <f>#REF!</f>
        <v>#REF!</v>
      </c>
    </row>
    <row r="204" spans="3:3" x14ac:dyDescent="0.75">
      <c r="C204" s="20" t="e">
        <f>#REF!</f>
        <v>#REF!</v>
      </c>
    </row>
    <row r="205" spans="3:3" x14ac:dyDescent="0.75">
      <c r="C205" s="20" t="e">
        <f>#REF!</f>
        <v>#REF!</v>
      </c>
    </row>
    <row r="206" spans="3:3" x14ac:dyDescent="0.75">
      <c r="C206" s="20" t="e">
        <f>#REF!</f>
        <v>#REF!</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salvaBase">
                <anchor moveWithCells="1">
                  <from>
                    <xdr:col>4</xdr:col>
                    <xdr:colOff>190500</xdr:colOff>
                    <xdr:row>0</xdr:row>
                    <xdr:rowOff>101600</xdr:rowOff>
                  </from>
                  <to>
                    <xdr:col>5</xdr:col>
                    <xdr:colOff>254000</xdr:colOff>
                    <xdr:row>2</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L33"/>
  <sheetViews>
    <sheetView workbookViewId="0">
      <selection activeCell="H16" sqref="B16:H16"/>
    </sheetView>
  </sheetViews>
  <sheetFormatPr defaultRowHeight="14.75" x14ac:dyDescent="0.75"/>
  <cols>
    <col min="1" max="1" width="16.54296875" customWidth="1"/>
    <col min="2" max="2" width="59.5" customWidth="1"/>
    <col min="3" max="3" width="44.6328125" customWidth="1"/>
    <col min="4" max="4" width="71.58984375" style="18" bestFit="1" customWidth="1"/>
    <col min="5" max="5" width="10.81640625" customWidth="1"/>
    <col min="6" max="6" width="9" customWidth="1"/>
    <col min="7" max="7" width="21.76953125" customWidth="1"/>
    <col min="8" max="8" width="21.76953125" style="17" customWidth="1"/>
    <col min="9" max="9" width="67.1796875" style="18" customWidth="1"/>
    <col min="10" max="10" width="19.31640625" customWidth="1"/>
    <col min="12" max="12" width="45.81640625" style="18" customWidth="1"/>
    <col min="13" max="13" width="8.7265625" customWidth="1"/>
  </cols>
  <sheetData>
    <row r="1" spans="1:12" s="17" customFormat="1" x14ac:dyDescent="0.75">
      <c r="B1" s="22"/>
      <c r="C1" s="22"/>
      <c r="D1" s="3"/>
      <c r="I1" s="41" t="s">
        <v>39</v>
      </c>
      <c r="L1" s="18"/>
    </row>
    <row r="2" spans="1:12" s="17" customFormat="1" x14ac:dyDescent="0.75">
      <c r="B2" s="22"/>
      <c r="C2" s="22"/>
      <c r="D2" s="3"/>
      <c r="I2" s="42" t="s">
        <v>38</v>
      </c>
      <c r="L2" s="18"/>
    </row>
    <row r="3" spans="1:12" s="17" customFormat="1" ht="15.5" thickBot="1" x14ac:dyDescent="0.9">
      <c r="B3" s="22"/>
      <c r="C3" s="22"/>
      <c r="D3" s="3"/>
      <c r="I3" s="42" t="str">
        <f>I1</f>
        <v>// -------------------------------------------------------------------------------</v>
      </c>
      <c r="L3" s="18"/>
    </row>
    <row r="4" spans="1:12" s="17" customFormat="1" x14ac:dyDescent="0.75">
      <c r="A4" s="7" t="s">
        <v>15</v>
      </c>
      <c r="B4" s="25" t="s">
        <v>292</v>
      </c>
      <c r="C4" s="22"/>
      <c r="D4" s="3"/>
      <c r="I4" s="34" t="str">
        <f>CONCATENATE("Logical: ",B4)</f>
        <v>Logical: SubjectLabEhn</v>
      </c>
      <c r="L4" s="18"/>
    </row>
    <row r="5" spans="1:12" s="17" customFormat="1" x14ac:dyDescent="0.75">
      <c r="A5" s="26" t="s">
        <v>20</v>
      </c>
      <c r="B5" s="44" t="s">
        <v>12</v>
      </c>
      <c r="C5" s="22"/>
      <c r="D5" s="3"/>
      <c r="I5" s="34" t="str">
        <f>CONCATENATE("Id: ",B5)</f>
        <v>Id: Subject</v>
      </c>
      <c r="L5" s="18"/>
    </row>
    <row r="6" spans="1:12" s="17" customFormat="1" x14ac:dyDescent="0.75">
      <c r="A6" s="28" t="s">
        <v>13</v>
      </c>
      <c r="B6" s="27" t="s">
        <v>14</v>
      </c>
      <c r="C6" s="22"/>
      <c r="D6" s="3"/>
      <c r="I6" s="35" t="str">
        <f>CONCATENATE("Title: ##34#",B6,"##34#")</f>
        <v>Title: ##34#Subject of care##34#</v>
      </c>
      <c r="L6" s="18"/>
    </row>
    <row r="7" spans="1:12" s="17" customFormat="1" ht="15.5" thickBot="1" x14ac:dyDescent="0.9">
      <c r="A7" s="29" t="s">
        <v>5</v>
      </c>
      <c r="B7" s="30" t="s">
        <v>293</v>
      </c>
      <c r="C7" s="15" t="s">
        <v>6</v>
      </c>
      <c r="D7" s="2" t="s">
        <v>7</v>
      </c>
      <c r="E7" s="4" t="s">
        <v>8</v>
      </c>
      <c r="F7" s="4" t="s">
        <v>9</v>
      </c>
      <c r="G7" s="4" t="s">
        <v>10</v>
      </c>
      <c r="I7" s="35" t="str">
        <f>CONCATENATE("Description: "," ##334#",B7,"##334#",)</f>
        <v>Description:  ##334#Patient or Subject of care##334#</v>
      </c>
      <c r="L7" s="18"/>
    </row>
    <row r="8" spans="1:12" s="17" customFormat="1" ht="29.5" x14ac:dyDescent="0.75">
      <c r="A8" s="19">
        <v>1</v>
      </c>
      <c r="B8" s="19" t="s">
        <v>298</v>
      </c>
      <c r="C8" s="24" t="s">
        <v>318</v>
      </c>
      <c r="D8" s="20" t="s">
        <v>318</v>
      </c>
      <c r="E8" s="19">
        <v>1</v>
      </c>
      <c r="F8" s="19">
        <v>1</v>
      </c>
      <c r="G8" s="19" t="s">
        <v>4</v>
      </c>
      <c r="H8" s="32"/>
      <c r="I8" s="43" t="str">
        <f>CONCATENATE("* ",B8, " ",E8,"..",F8," ",G8," ##34#",C8,"##34# ##334#",D8,"##334#")</f>
        <v>* identification 1..1 BackboneElement ##34#A.1.1 Identification of the patient/subject##34# ##334#A.1.1 Identification of the patient/subject##334#</v>
      </c>
      <c r="L8" s="18"/>
    </row>
    <row r="9" spans="1:12" ht="29.5" x14ac:dyDescent="0.75">
      <c r="A9" s="19">
        <v>2</v>
      </c>
      <c r="B9" s="19" t="s">
        <v>300</v>
      </c>
      <c r="C9" s="24" t="s">
        <v>317</v>
      </c>
      <c r="D9" s="20" t="s">
        <v>299</v>
      </c>
      <c r="E9" s="11">
        <v>0</v>
      </c>
      <c r="F9" s="11" t="s">
        <v>11</v>
      </c>
      <c r="G9" s="11" t="s">
        <v>3</v>
      </c>
      <c r="H9" s="32"/>
      <c r="I9" s="43" t="str">
        <f t="shared" ref="I9:I16" si="0">CONCATENATE("* ",B9, " ",E9,"..",F9," ",G9," ##34#",C9,"##34# ##334#",D9,"##334#")</f>
        <v>* identification.familyName 0..* string ##34#A.1.1.1 Familyname/surname##34# ##334#The family name/surname/last name of the patient. This field can contain more than one element or multiple fields could be present.##334#</v>
      </c>
    </row>
    <row r="10" spans="1:12" ht="44.25" x14ac:dyDescent="0.75">
      <c r="A10" s="19">
        <v>3</v>
      </c>
      <c r="B10" s="19" t="s">
        <v>301</v>
      </c>
      <c r="C10" s="24" t="s">
        <v>319</v>
      </c>
      <c r="D10" s="20" t="s">
        <v>320</v>
      </c>
      <c r="E10" s="11">
        <v>0</v>
      </c>
      <c r="F10" s="11" t="s">
        <v>11</v>
      </c>
      <c r="G10" s="11" t="s">
        <v>3</v>
      </c>
      <c r="H10" s="32"/>
      <c r="I10" s="43" t="str">
        <f t="shared" si="0"/>
        <v>* identification.givenName 0..* string ##34#A.1.1.2 Given name ##34# ##334#The given name/first name of the patient (also known as forename or first name). This field can contain more than one element. ##334#</v>
      </c>
    </row>
    <row r="11" spans="1:12" s="17" customFormat="1" ht="73.75" x14ac:dyDescent="0.75">
      <c r="A11" s="19">
        <v>4</v>
      </c>
      <c r="B11" s="19" t="s">
        <v>302</v>
      </c>
      <c r="C11" s="24" t="s">
        <v>321</v>
      </c>
      <c r="D11" s="20" t="s">
        <v>322</v>
      </c>
      <c r="E11" s="19">
        <v>0</v>
      </c>
      <c r="F11" s="19">
        <v>1</v>
      </c>
      <c r="G11" s="19" t="s">
        <v>2</v>
      </c>
      <c r="H11" s="32"/>
      <c r="I11" s="43" t="str">
        <f t="shared" si="0"/>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c r="L11" s="18"/>
    </row>
    <row r="12" spans="1:12" ht="59" x14ac:dyDescent="0.75">
      <c r="A12" s="19">
        <v>5</v>
      </c>
      <c r="B12" s="19" t="s">
        <v>303</v>
      </c>
      <c r="C12" s="19" t="s">
        <v>323</v>
      </c>
      <c r="D12" s="20" t="s">
        <v>324</v>
      </c>
      <c r="E12" s="11">
        <v>0</v>
      </c>
      <c r="F12" s="11">
        <v>1</v>
      </c>
      <c r="G12" s="11" t="s">
        <v>0</v>
      </c>
      <c r="H12" s="32"/>
      <c r="I12" s="43" t="str">
        <f t="shared" si="0"/>
        <v>* identification.identifier 0..1 Identifier ##34#A.1.1.4 Personal identifier ##34# ##334#An identifier of the patient that is unique within a defined scope. Example: National ID (birth number) for Czech patient. Multiple identifiers could be provided. ##334#</v>
      </c>
    </row>
    <row r="13" spans="1:12" ht="73.75" x14ac:dyDescent="0.75">
      <c r="A13" s="19">
        <v>6</v>
      </c>
      <c r="B13" s="19" t="s">
        <v>304</v>
      </c>
      <c r="C13" s="24" t="s">
        <v>294</v>
      </c>
      <c r="D13" s="20" t="s">
        <v>325</v>
      </c>
      <c r="E13" s="11">
        <v>0</v>
      </c>
      <c r="F13" s="11">
        <v>1</v>
      </c>
      <c r="G13" s="19" t="s">
        <v>1</v>
      </c>
      <c r="H13" s="32"/>
      <c r="I13" s="43"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2" ht="44.25" x14ac:dyDescent="0.75">
      <c r="A14" s="19">
        <v>7</v>
      </c>
      <c r="B14" s="19" t="s">
        <v>313</v>
      </c>
      <c r="C14" s="24" t="s">
        <v>326</v>
      </c>
      <c r="D14" s="63" t="s">
        <v>326</v>
      </c>
      <c r="E14" s="11">
        <v>0</v>
      </c>
      <c r="F14" s="11" t="s">
        <v>11</v>
      </c>
      <c r="G14" s="19" t="s">
        <v>4</v>
      </c>
      <c r="H14" s="32"/>
      <c r="I14" s="43" t="str">
        <f t="shared" si="0"/>
        <v>* address-telecom 0..* BackboneElement ##34#A.1.2 Patient/subject related contact information   ##34# ##334#A.1.2 Patient/subject related contact information   ##334#</v>
      </c>
    </row>
    <row r="15" spans="1:12" ht="103.25" x14ac:dyDescent="0.75">
      <c r="A15" s="19">
        <v>8</v>
      </c>
      <c r="B15" s="19" t="s">
        <v>314</v>
      </c>
      <c r="C15" s="19" t="s">
        <v>295</v>
      </c>
      <c r="D15" s="20" t="s">
        <v>327</v>
      </c>
      <c r="E15" s="19">
        <v>0</v>
      </c>
      <c r="F15" s="19" t="s">
        <v>11</v>
      </c>
      <c r="G15" s="19" t="s">
        <v>66</v>
      </c>
      <c r="H15" s="32"/>
      <c r="I15" s="43"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4"/>
      <c r="K15" s="19"/>
    </row>
    <row r="16" spans="1:12" ht="29.5" customHeight="1" x14ac:dyDescent="0.75">
      <c r="A16" s="19">
        <v>9</v>
      </c>
      <c r="B16" s="19" t="s">
        <v>315</v>
      </c>
      <c r="C16" s="19" t="s">
        <v>296</v>
      </c>
      <c r="D16" s="20" t="s">
        <v>297</v>
      </c>
      <c r="E16" s="19">
        <v>0</v>
      </c>
      <c r="F16" s="19" t="s">
        <v>11</v>
      </c>
      <c r="G16" s="64" t="s">
        <v>338</v>
      </c>
      <c r="H16" s="19"/>
      <c r="I16" s="43" t="str">
        <f t="shared" si="0"/>
        <v>* address-telecom.telecom 0..* ContactPoint ##34#A.1.2.2 Telecom##34# ##334#Telecommunication contact information (addresses) associated to a person. Multiple telecommunication addresses might be provided. - Preferred system(s): ##334#</v>
      </c>
    </row>
    <row r="17" spans="1:12" x14ac:dyDescent="0.75">
      <c r="A17" s="17"/>
      <c r="B17" s="17"/>
      <c r="C17" s="17"/>
      <c r="E17" s="17"/>
      <c r="F17" s="17"/>
      <c r="G17" s="17"/>
      <c r="I17" s="17"/>
      <c r="J17" s="17"/>
    </row>
    <row r="18" spans="1:12" x14ac:dyDescent="0.75">
      <c r="A18" s="17"/>
      <c r="B18" s="17"/>
      <c r="C18" s="17"/>
      <c r="E18" s="17"/>
      <c r="F18" s="17"/>
      <c r="G18" s="17"/>
      <c r="I18" s="17"/>
      <c r="J18" s="17"/>
    </row>
    <row r="19" spans="1:12" x14ac:dyDescent="0.75">
      <c r="A19" s="17"/>
      <c r="B19" s="17"/>
      <c r="C19" s="17"/>
      <c r="E19" s="17"/>
      <c r="F19" s="17"/>
      <c r="G19" s="17"/>
      <c r="I19" s="17"/>
      <c r="J19" s="17"/>
    </row>
    <row r="20" spans="1:12" x14ac:dyDescent="0.75">
      <c r="A20" s="17"/>
      <c r="B20" s="17"/>
      <c r="C20" s="17"/>
      <c r="E20" s="17"/>
      <c r="F20" s="17"/>
      <c r="G20" s="17"/>
      <c r="I20" s="17"/>
      <c r="J20" s="17"/>
    </row>
    <row r="21" spans="1:12" x14ac:dyDescent="0.75">
      <c r="A21" s="17"/>
      <c r="B21" s="17" t="str">
        <f t="shared" ref="B21:B33" si="1">CONCATENATE(C21," ",D21)</f>
        <v xml:space="preserve"> </v>
      </c>
      <c r="C21" s="17"/>
      <c r="E21" s="17"/>
      <c r="F21" s="17"/>
      <c r="G21" s="17"/>
      <c r="I21" s="17"/>
      <c r="J21" s="17"/>
    </row>
    <row r="22" spans="1:12" ht="15.5" thickBot="1" x14ac:dyDescent="0.9">
      <c r="A22" s="17"/>
      <c r="B22" s="17" t="str">
        <f t="shared" si="1"/>
        <v xml:space="preserve"> </v>
      </c>
      <c r="C22" s="17"/>
      <c r="E22" s="17"/>
      <c r="F22" s="17"/>
      <c r="G22" s="17"/>
      <c r="I22" s="17"/>
      <c r="J22" s="17"/>
    </row>
    <row r="23" spans="1:12" s="17" customFormat="1" ht="16.75" thickBot="1" x14ac:dyDescent="0.9">
      <c r="C23" s="60" t="s">
        <v>318</v>
      </c>
      <c r="D23" s="60" t="s">
        <v>318</v>
      </c>
      <c r="E23" s="61"/>
      <c r="F23" s="62"/>
      <c r="L23" s="18"/>
    </row>
    <row r="24" spans="1:12" s="17" customFormat="1" ht="256.75" thickBot="1" x14ac:dyDescent="0.9">
      <c r="B24" s="17" t="str">
        <f t="shared" si="1"/>
        <v>A.1.1.1 Family name/surname</v>
      </c>
      <c r="C24" s="52" t="s">
        <v>46</v>
      </c>
      <c r="D24" s="47" t="s">
        <v>47</v>
      </c>
      <c r="E24" s="47" t="s">
        <v>328</v>
      </c>
      <c r="F24" s="48"/>
      <c r="I24" s="18" t="str">
        <f t="shared" ref="I24:I33" si="2">CONCATENATE(E24," - Preferred system(s): ",F24)</f>
        <v xml:space="preserve">The family name/surname/last name of the patient. This field can contain more than one element or multiple fields could be present.  - Preferred system(s): </v>
      </c>
      <c r="L24" s="18"/>
    </row>
    <row r="25" spans="1:12" s="17" customFormat="1" ht="240.75" thickBot="1" x14ac:dyDescent="0.9">
      <c r="B25" s="17" t="str">
        <f t="shared" si="1"/>
        <v xml:space="preserve">A.1.1.2 Given name </v>
      </c>
      <c r="C25" s="52" t="s">
        <v>49</v>
      </c>
      <c r="D25" s="47" t="s">
        <v>329</v>
      </c>
      <c r="E25" s="47" t="s">
        <v>330</v>
      </c>
      <c r="F25" s="48"/>
      <c r="I25" s="18" t="str">
        <f t="shared" si="2"/>
        <v xml:space="preserve">The given name/first name of the patient (also known as forename or first name). This field can contain more than one element.   - Preferred system(s): </v>
      </c>
      <c r="L25" s="18"/>
    </row>
    <row r="26" spans="1:12" s="17" customFormat="1" ht="304.75" thickBot="1" x14ac:dyDescent="0.9">
      <c r="B26" s="17" t="str">
        <f t="shared" si="1"/>
        <v xml:space="preserve">A.1.1.3 Date of birth </v>
      </c>
      <c r="C26" s="52" t="s">
        <v>52</v>
      </c>
      <c r="D26" s="47" t="s">
        <v>331</v>
      </c>
      <c r="E26" s="47" t="s">
        <v>54</v>
      </c>
      <c r="F26" s="49" t="s">
        <v>332</v>
      </c>
      <c r="I26" s="18"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c r="L26" s="18"/>
    </row>
    <row r="27" spans="1:12" s="17" customFormat="1" ht="304.75" thickBot="1" x14ac:dyDescent="0.9">
      <c r="B27" s="17" t="str">
        <f t="shared" si="1"/>
        <v xml:space="preserve">A.1.1.4 Personal identifier </v>
      </c>
      <c r="C27" s="52" t="s">
        <v>56</v>
      </c>
      <c r="D27" s="47" t="s">
        <v>333</v>
      </c>
      <c r="E27" s="47" t="s">
        <v>334</v>
      </c>
      <c r="F27" s="48"/>
      <c r="I27" s="18" t="str">
        <f t="shared" si="2"/>
        <v xml:space="preserve">An identifier of the patient that is unique within a defined scope. Example: National ID (birth number) for Czech patient. Multiple identifiers could be provided.   - Preferred system(s): </v>
      </c>
      <c r="L27" s="18"/>
    </row>
    <row r="28" spans="1:12" s="17" customFormat="1" ht="144" x14ac:dyDescent="0.75">
      <c r="B28" s="17" t="str">
        <f t="shared" si="1"/>
        <v>A.1.1.5 Gender</v>
      </c>
      <c r="C28" s="71" t="s">
        <v>59</v>
      </c>
      <c r="D28" s="71" t="s">
        <v>60</v>
      </c>
      <c r="E28" s="50" t="s">
        <v>61</v>
      </c>
      <c r="F28" s="74" t="s">
        <v>335</v>
      </c>
      <c r="I28" s="18" t="str">
        <f t="shared" si="2"/>
        <v xml:space="preserve">This field must contain a recognised valid value for "administrative gender". - Preferred system(s): HL7 Administrative Gender </v>
      </c>
      <c r="L28" s="18"/>
    </row>
    <row r="29" spans="1:12" s="17" customFormat="1" ht="14.75" customHeight="1" x14ac:dyDescent="0.75">
      <c r="B29" s="17" t="str">
        <f t="shared" si="1"/>
        <v xml:space="preserve"> </v>
      </c>
      <c r="C29" s="72"/>
      <c r="D29" s="72"/>
      <c r="E29" s="51"/>
      <c r="F29" s="75"/>
      <c r="I29" s="18" t="str">
        <f t="shared" si="2"/>
        <v xml:space="preserve"> - Preferred system(s): </v>
      </c>
      <c r="L29" s="18"/>
    </row>
    <row r="30" spans="1:12" s="17" customFormat="1" ht="30.25" customHeight="1" thickBot="1" x14ac:dyDescent="0.9">
      <c r="B30" s="17" t="str">
        <f t="shared" si="1"/>
        <v xml:space="preserve"> </v>
      </c>
      <c r="C30" s="73"/>
      <c r="D30" s="73"/>
      <c r="E30" s="47" t="s">
        <v>63</v>
      </c>
      <c r="F30" s="76"/>
      <c r="I30" s="18" t="str">
        <f t="shared" si="2"/>
        <v xml:space="preserve">If different, "physiological gender" should be communicated elsewhere. - Preferred system(s): </v>
      </c>
      <c r="L30" s="18"/>
    </row>
    <row r="31" spans="1:12" s="17" customFormat="1" ht="16.75" thickBot="1" x14ac:dyDescent="0.9">
      <c r="B31" s="17" t="str">
        <f t="shared" si="1"/>
        <v xml:space="preserve">A.1.2 Patient/subject related contact information   </v>
      </c>
      <c r="C31" s="77" t="s">
        <v>336</v>
      </c>
      <c r="D31" s="78"/>
      <c r="E31" s="78"/>
      <c r="F31" s="79"/>
      <c r="I31" s="18" t="str">
        <f t="shared" si="2"/>
        <v xml:space="preserve"> - Preferred system(s): </v>
      </c>
      <c r="L31" s="18"/>
    </row>
    <row r="32" spans="1:12" s="17" customFormat="1" ht="409.6" thickBot="1" x14ac:dyDescent="0.9">
      <c r="B32" s="17" t="str">
        <f t="shared" si="1"/>
        <v>A.1.2.1 Address</v>
      </c>
      <c r="C32" s="52" t="s">
        <v>65</v>
      </c>
      <c r="D32" s="47" t="s">
        <v>66</v>
      </c>
      <c r="E32" s="47" t="s">
        <v>67</v>
      </c>
      <c r="F32" s="49" t="s">
        <v>337</v>
      </c>
      <c r="I32" s="18"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c r="L32" s="18"/>
    </row>
    <row r="33" spans="2:12" s="17" customFormat="1" ht="256.75" thickBot="1" x14ac:dyDescent="0.9">
      <c r="B33" s="17" t="str">
        <f t="shared" si="1"/>
        <v>A.1.2.2 Telecom</v>
      </c>
      <c r="C33" s="52" t="s">
        <v>69</v>
      </c>
      <c r="D33" s="47" t="s">
        <v>70</v>
      </c>
      <c r="E33" s="47" t="s">
        <v>71</v>
      </c>
      <c r="F33" s="53"/>
      <c r="I33" s="18" t="str">
        <f t="shared" si="2"/>
        <v xml:space="preserve">Telecommunication contact information (addresses) associated to a person. Multiple telecommunication addresses might be provided. - Preferred system(s): </v>
      </c>
      <c r="L33" s="18"/>
    </row>
  </sheetData>
  <mergeCells count="4">
    <mergeCell ref="C28:C30"/>
    <mergeCell ref="D28:D30"/>
    <mergeCell ref="F28:F30"/>
    <mergeCell ref="C31:F3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H16" sqref="B16:H16"/>
    </sheetView>
  </sheetViews>
  <sheetFormatPr defaultRowHeight="14.75" x14ac:dyDescent="0.75"/>
  <cols>
    <col min="1" max="1" width="8.7265625" style="10"/>
    <col min="2" max="2" width="31.6796875" style="10" bestFit="1" customWidth="1"/>
    <col min="3" max="3" width="72.1328125" style="10" customWidth="1"/>
    <col min="4" max="4" width="8.04296875" style="10" customWidth="1"/>
    <col min="5" max="5" width="71.58984375" style="18" customWidth="1"/>
    <col min="6" max="6" width="10.76953125" style="10" customWidth="1"/>
    <col min="7" max="7" width="45.26953125" style="10" customWidth="1"/>
    <col min="8" max="16384" width="8.7265625" style="10"/>
  </cols>
  <sheetData>
    <row r="1" spans="1:15" s="17" customFormat="1" x14ac:dyDescent="0.75">
      <c r="B1" s="22"/>
      <c r="C1" s="22"/>
      <c r="E1" s="33" t="s">
        <v>39</v>
      </c>
      <c r="H1" s="13"/>
      <c r="I1" s="13"/>
      <c r="J1" s="13"/>
      <c r="K1" s="13"/>
      <c r="L1" s="13"/>
      <c r="M1" s="13"/>
      <c r="N1" s="13"/>
      <c r="O1" s="13"/>
    </row>
    <row r="2" spans="1:15" s="17" customFormat="1" x14ac:dyDescent="0.75">
      <c r="B2" s="22"/>
      <c r="C2" s="22"/>
      <c r="E2" s="40" t="s">
        <v>40</v>
      </c>
      <c r="H2" s="13"/>
      <c r="I2" s="13"/>
      <c r="J2" s="13"/>
      <c r="K2" s="13"/>
      <c r="L2" s="13"/>
      <c r="M2" s="13"/>
      <c r="N2" s="13"/>
      <c r="O2" s="13"/>
    </row>
    <row r="3" spans="1:15" s="17" customFormat="1" ht="15.5" thickBot="1" x14ac:dyDescent="0.9">
      <c r="B3" s="22"/>
      <c r="C3" s="22"/>
      <c r="E3" s="40" t="str">
        <f>E1</f>
        <v>// -------------------------------------------------------------------------------</v>
      </c>
      <c r="H3" s="13"/>
      <c r="I3" s="13"/>
      <c r="J3" s="13"/>
      <c r="K3" s="13"/>
      <c r="L3" s="13"/>
      <c r="M3" s="13"/>
      <c r="N3" s="13"/>
      <c r="O3" s="13"/>
    </row>
    <row r="4" spans="1:15" ht="15.5" thickBot="1" x14ac:dyDescent="0.9">
      <c r="B4" s="16" t="s">
        <v>35</v>
      </c>
      <c r="C4" s="8" t="s">
        <v>340</v>
      </c>
      <c r="E4" s="37" t="str">
        <f>CONCATENATE("Mapping: ",C4)</f>
        <v>Mapping: eHNLabSubject2Fhir</v>
      </c>
      <c r="G4" s="10" t="s">
        <v>21</v>
      </c>
      <c r="H4" s="13"/>
      <c r="I4" s="13"/>
      <c r="J4" s="13"/>
      <c r="K4" s="13"/>
      <c r="L4" s="13"/>
      <c r="M4" s="13"/>
      <c r="N4" s="13"/>
      <c r="O4" s="13"/>
    </row>
    <row r="5" spans="1:15" ht="15.5" thickBot="1" x14ac:dyDescent="0.9">
      <c r="B5" s="16" t="s">
        <v>20</v>
      </c>
      <c r="C5" s="6" t="s">
        <v>17</v>
      </c>
      <c r="E5" s="38" t="str">
        <f>CONCATENATE("Id: ",C5)</f>
        <v>Id: fhir</v>
      </c>
      <c r="G5" s="1" t="s">
        <v>22</v>
      </c>
      <c r="H5" s="13"/>
      <c r="I5" s="13"/>
      <c r="J5" s="13"/>
      <c r="K5" s="13"/>
      <c r="L5" s="13"/>
      <c r="M5" s="13"/>
      <c r="N5" s="13"/>
      <c r="O5" s="13"/>
    </row>
    <row r="6" spans="1:15" ht="15.5" thickBot="1" x14ac:dyDescent="0.9">
      <c r="B6" s="16" t="s">
        <v>13</v>
      </c>
      <c r="C6" s="12" t="s">
        <v>37</v>
      </c>
      <c r="E6" s="38" t="str">
        <f>CONCATENATE("Title: ##34#",C6,"##34#")</f>
        <v>Title: ##34#Idea4RC Subject model to FHIR R4 Map##34#</v>
      </c>
      <c r="G6" s="1" t="s">
        <v>23</v>
      </c>
      <c r="H6" s="13"/>
      <c r="I6" s="13"/>
      <c r="J6" s="13"/>
      <c r="K6" s="13"/>
      <c r="L6" s="13"/>
      <c r="M6" s="13"/>
      <c r="N6" s="13"/>
      <c r="O6" s="13"/>
    </row>
    <row r="7" spans="1:15" ht="15.5" thickBot="1" x14ac:dyDescent="0.9">
      <c r="B7" s="16" t="s">
        <v>36</v>
      </c>
      <c r="C7" s="14" t="str">
        <f>B9</f>
        <v>Subject</v>
      </c>
      <c r="E7" s="38" t="str">
        <f>CONCATENATE("Source: ",C7)</f>
        <v>Source: Subject</v>
      </c>
      <c r="G7" s="1" t="s">
        <v>24</v>
      </c>
      <c r="H7" s="13"/>
      <c r="I7" s="13"/>
      <c r="J7" s="13"/>
      <c r="K7" s="13"/>
      <c r="L7" s="13"/>
      <c r="M7" s="13"/>
      <c r="N7" s="13"/>
      <c r="O7" s="13"/>
    </row>
    <row r="8" spans="1:15" ht="15.5" thickBot="1" x14ac:dyDescent="0.9">
      <c r="B8" s="36" t="s">
        <v>19</v>
      </c>
      <c r="C8" s="10" t="s">
        <v>16</v>
      </c>
      <c r="E8" s="39" t="str">
        <f>CONCATENATE("Target: ##34#",C8,"##34#")</f>
        <v>Target: ##34#hl7.org/fhir/r4##34#</v>
      </c>
      <c r="G8" s="1" t="s">
        <v>25</v>
      </c>
      <c r="H8" s="13"/>
      <c r="I8" s="13"/>
      <c r="J8" s="13"/>
      <c r="K8" s="13"/>
      <c r="L8" s="13"/>
      <c r="M8" s="13"/>
      <c r="N8" s="13"/>
      <c r="O8" s="13"/>
    </row>
    <row r="9" spans="1:15" x14ac:dyDescent="0.75">
      <c r="A9" s="11"/>
      <c r="B9" s="11" t="str">
        <f>Subj!B5</f>
        <v>Subject</v>
      </c>
      <c r="C9" s="9" t="s">
        <v>305</v>
      </c>
      <c r="E9" s="5" t="str">
        <f>CONCATENATE("* -&gt; ##34#",C9,"##34#")</f>
        <v>* -&gt; ##34#Patient.conformsTo('http://hl7.eu/fhir/ig/xeh/StructureDefinition/Patient-eu-xeh')##34#</v>
      </c>
      <c r="F9" s="17"/>
      <c r="H9" s="13"/>
      <c r="I9" s="13"/>
      <c r="J9" s="13"/>
      <c r="K9" s="13"/>
      <c r="L9" s="13"/>
      <c r="M9" s="13"/>
      <c r="N9" s="13"/>
      <c r="O9" s="13"/>
    </row>
    <row r="10" spans="1:15" x14ac:dyDescent="0.75">
      <c r="A10" s="11"/>
      <c r="B10" s="19" t="str">
        <f>Subj!B8</f>
        <v>identification</v>
      </c>
      <c r="C10" s="19" t="s">
        <v>18</v>
      </c>
      <c r="E10" s="20" t="str">
        <f>CONCATENATE("* ",B10," -&gt; ##34#",C10,"##34#")</f>
        <v>* identification -&gt; ##34#Patient##34#</v>
      </c>
      <c r="F10" s="17"/>
      <c r="G10" s="1" t="s">
        <v>26</v>
      </c>
      <c r="H10" s="13"/>
      <c r="I10" s="13"/>
      <c r="J10" s="13"/>
      <c r="K10" s="13"/>
      <c r="L10" s="13"/>
      <c r="M10" s="13"/>
      <c r="N10" s="13"/>
      <c r="O10" s="13"/>
    </row>
    <row r="11" spans="1:15" x14ac:dyDescent="0.75">
      <c r="A11" s="11"/>
      <c r="B11" s="19" t="str">
        <f>Subj!B9</f>
        <v>identification.familyName</v>
      </c>
      <c r="C11" s="19" t="s">
        <v>306</v>
      </c>
      <c r="E11" s="20" t="str">
        <f t="shared" ref="E11:E18" si="0">CONCATENATE("* ",B11," -&gt; ##34#",C11,"##34#")</f>
        <v>* identification.familyName -&gt; ##34#Patient.name.family##34#</v>
      </c>
      <c r="F11" s="17"/>
      <c r="G11" s="18" t="s">
        <v>27</v>
      </c>
      <c r="H11" s="13"/>
      <c r="I11" s="13"/>
      <c r="J11" s="13"/>
      <c r="K11" s="13"/>
      <c r="L11" s="13"/>
      <c r="M11" s="13"/>
      <c r="N11" s="13"/>
      <c r="O11" s="13"/>
    </row>
    <row r="12" spans="1:15" ht="44.25" x14ac:dyDescent="0.75">
      <c r="A12" s="11"/>
      <c r="B12" s="19" t="str">
        <f>Subj!B10</f>
        <v>identification.givenName</v>
      </c>
      <c r="C12" s="19" t="s">
        <v>307</v>
      </c>
      <c r="E12" s="20" t="str">
        <f t="shared" si="0"/>
        <v>* identification.givenName -&gt; ##34#Patient.name.given##34#</v>
      </c>
      <c r="F12" s="17"/>
      <c r="G12" s="18" t="s">
        <v>28</v>
      </c>
      <c r="H12" s="13"/>
      <c r="I12" s="13"/>
      <c r="J12" s="13"/>
      <c r="K12" s="13"/>
      <c r="L12" s="13"/>
      <c r="M12" s="13"/>
      <c r="N12" s="13"/>
      <c r="O12" s="13"/>
    </row>
    <row r="13" spans="1:15" x14ac:dyDescent="0.75">
      <c r="A13" s="11"/>
      <c r="B13" s="19" t="str">
        <f>Subj!B11</f>
        <v>identification.dateOfBirth</v>
      </c>
      <c r="C13" s="19" t="s">
        <v>308</v>
      </c>
      <c r="E13" s="20" t="str">
        <f t="shared" si="0"/>
        <v>* identification.dateOfBirth -&gt; ##34#Patient.birthDate##34#</v>
      </c>
      <c r="F13" s="17"/>
      <c r="G13" s="18" t="s">
        <v>29</v>
      </c>
      <c r="H13" s="13"/>
      <c r="I13" s="13"/>
      <c r="J13" s="13"/>
      <c r="K13" s="13"/>
      <c r="L13" s="13"/>
      <c r="M13" s="13"/>
      <c r="N13" s="13"/>
      <c r="O13" s="13"/>
    </row>
    <row r="14" spans="1:15" x14ac:dyDescent="0.75">
      <c r="A14" s="11"/>
      <c r="B14" s="19" t="str">
        <f>Subj!B12</f>
        <v>identification.identifier</v>
      </c>
      <c r="C14" s="11" t="s">
        <v>309</v>
      </c>
      <c r="E14" s="20" t="str">
        <f t="shared" si="0"/>
        <v>* identification.identifier -&gt; ##34#Patient.identifier##34#</v>
      </c>
      <c r="F14" s="17"/>
      <c r="G14" s="18" t="s">
        <v>30</v>
      </c>
      <c r="H14" s="13"/>
      <c r="I14" s="13"/>
      <c r="J14" s="13"/>
      <c r="K14" s="13"/>
      <c r="L14" s="13"/>
      <c r="M14" s="13"/>
      <c r="N14" s="13"/>
      <c r="O14" s="13"/>
    </row>
    <row r="15" spans="1:15" ht="29.5" x14ac:dyDescent="0.75">
      <c r="A15" s="19"/>
      <c r="B15" s="19" t="str">
        <f>Subj!B13</f>
        <v>identification.gender</v>
      </c>
      <c r="C15" s="19" t="s">
        <v>310</v>
      </c>
      <c r="E15" s="20" t="str">
        <f t="shared" si="0"/>
        <v>* identification.gender -&gt; ##34#Patient.gender##34#</v>
      </c>
      <c r="F15" s="17"/>
      <c r="G15" s="18" t="s">
        <v>31</v>
      </c>
      <c r="H15" s="13"/>
      <c r="I15" s="13"/>
      <c r="J15" s="13"/>
      <c r="K15" s="13"/>
      <c r="L15" s="13"/>
      <c r="M15" s="13"/>
      <c r="N15" s="13"/>
      <c r="O15" s="13"/>
    </row>
    <row r="16" spans="1:15" ht="29.5" x14ac:dyDescent="0.75">
      <c r="A16" s="19"/>
      <c r="B16" s="19" t="str">
        <f>Subj!B14</f>
        <v>address-telecom</v>
      </c>
      <c r="C16" s="19" t="s">
        <v>312</v>
      </c>
      <c r="E16" s="20" t="str">
        <f t="shared" si="0"/>
        <v>* address-telecom -&gt; ##34#Patient.address##34#</v>
      </c>
      <c r="F16" s="17"/>
      <c r="G16" s="18" t="s">
        <v>32</v>
      </c>
      <c r="H16" s="13"/>
      <c r="I16" s="13"/>
      <c r="J16" s="13"/>
      <c r="K16" s="13"/>
      <c r="L16" s="13"/>
      <c r="M16" s="13"/>
      <c r="N16" s="13"/>
      <c r="O16" s="13"/>
    </row>
    <row r="17" spans="1:7" ht="29.5" x14ac:dyDescent="0.75">
      <c r="A17" s="19"/>
      <c r="B17" s="19" t="str">
        <f>Subj!B15</f>
        <v>address-telecom.address</v>
      </c>
      <c r="C17" s="19" t="s">
        <v>310</v>
      </c>
      <c r="E17" s="20" t="str">
        <f t="shared" si="0"/>
        <v>* address-telecom.address -&gt; ##34#Patient.gender##34#</v>
      </c>
      <c r="F17" s="17"/>
      <c r="G17" s="18" t="s">
        <v>33</v>
      </c>
    </row>
    <row r="18" spans="1:7" x14ac:dyDescent="0.75">
      <c r="A18" s="19"/>
      <c r="B18" s="19" t="str">
        <f>Subj!B16</f>
        <v>address-telecom.telecom</v>
      </c>
      <c r="C18" s="19" t="s">
        <v>311</v>
      </c>
      <c r="E18" s="20" t="str">
        <f t="shared" si="0"/>
        <v>* address-telecom.telecom -&gt; ##34#Patient.telecom##34#</v>
      </c>
      <c r="F18" s="17"/>
      <c r="G18" s="18" t="s">
        <v>34</v>
      </c>
    </row>
    <row r="19" spans="1:7" x14ac:dyDescent="0.75">
      <c r="A19" s="19"/>
      <c r="B19" s="19"/>
      <c r="C19" s="19"/>
      <c r="E19" s="20"/>
      <c r="F19" s="17"/>
    </row>
    <row r="20" spans="1:7" x14ac:dyDescent="0.75">
      <c r="A20" s="19"/>
      <c r="B20" s="19"/>
      <c r="C20" s="20"/>
      <c r="E20" s="20"/>
      <c r="F20" s="17"/>
    </row>
    <row r="21" spans="1:7" x14ac:dyDescent="0.75">
      <c r="B21" s="19"/>
    </row>
    <row r="22" spans="1:7" x14ac:dyDescent="0.75">
      <c r="B22" s="19"/>
    </row>
    <row r="24" spans="1:7" x14ac:dyDescent="0.75">
      <c r="E24" s="3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206"/>
  <sheetViews>
    <sheetView workbookViewId="0">
      <selection activeCell="C40" sqref="C40"/>
    </sheetView>
  </sheetViews>
  <sheetFormatPr defaultRowHeight="14.75" x14ac:dyDescent="0.75"/>
  <cols>
    <col min="3" max="3" width="108.2265625" style="20" customWidth="1"/>
  </cols>
  <sheetData>
    <row r="1" spans="3:5" x14ac:dyDescent="0.75">
      <c r="C1" s="41" t="str">
        <f>Subj!I1</f>
        <v>// -------------------------------------------------------------------------------</v>
      </c>
    </row>
    <row r="2" spans="3:5" x14ac:dyDescent="0.75">
      <c r="C2" s="42" t="str">
        <f>Subj!I2</f>
        <v>//  Logical Model</v>
      </c>
    </row>
    <row r="3" spans="3:5" x14ac:dyDescent="0.75">
      <c r="C3" s="42" t="str">
        <f>Subj!I3</f>
        <v>// -------------------------------------------------------------------------------</v>
      </c>
    </row>
    <row r="4" spans="3:5" x14ac:dyDescent="0.75">
      <c r="C4" s="34" t="str">
        <f>Subj!I4</f>
        <v>Logical: SubjectLabEhn</v>
      </c>
    </row>
    <row r="5" spans="3:5" x14ac:dyDescent="0.75">
      <c r="C5" s="34" t="str">
        <f>Subj!I5</f>
        <v>Id: Subject</v>
      </c>
    </row>
    <row r="6" spans="3:5" x14ac:dyDescent="0.75">
      <c r="C6" s="34" t="str">
        <f>Subj!I6</f>
        <v>Title: ##34#Subject of care##34#</v>
      </c>
    </row>
    <row r="7" spans="3:5" ht="29.5" x14ac:dyDescent="0.75">
      <c r="C7" s="34" t="str">
        <f>Subj!I7</f>
        <v>Description:  ##334#Patient or Subject of care##334#</v>
      </c>
    </row>
    <row r="8" spans="3:5" ht="29.5" x14ac:dyDescent="0.75">
      <c r="C8" s="20" t="str">
        <f>IF(Subj!I8="","//--- END",Subj!I8)</f>
        <v>* identification 1..1 BackboneElement ##34#A.1.1 Identification of the patient/subject##34# ##334#A.1.1 Identification of the patient/subject##334#</v>
      </c>
    </row>
    <row r="9" spans="3:5" ht="29.5" x14ac:dyDescent="0.75">
      <c r="C9" s="20" t="str">
        <f>IF(Subj!I9="","//--- END",Subj!I9)</f>
        <v>* identification.familyName 0..* string ##34#A.1.1.1 Familyname/surname##34# ##334#The family name/surname/last name of the patient. This field can contain more than one element or multiple fields could be present.##334#</v>
      </c>
    </row>
    <row r="10" spans="3:5" ht="29.5" x14ac:dyDescent="0.75">
      <c r="C10" s="20" t="str">
        <f>IF(Subj!I10="","//--- END",Subj!I10)</f>
        <v>* identification.givenName 0..* string ##34#A.1.1.2 Given name ##34# ##334#The given name/first name of the patient (also known as forename or first name). This field can contain more than one element. ##334#</v>
      </c>
      <c r="E10" t="s">
        <v>316</v>
      </c>
    </row>
    <row r="11" spans="3:5" ht="44.25" x14ac:dyDescent="0.75">
      <c r="C11" s="20" t="str">
        <f>IF(Subj!I11="","//--- END",Subj!I11)</f>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5" ht="29.5" x14ac:dyDescent="0.75">
      <c r="C12" s="20" t="str">
        <f>IF(Subj!I12="","//--- END",Subj!I12)</f>
        <v>* identification.identifier 0..1 Identifier ##34#A.1.1.4 Personal identifier ##34# ##334#An identifier of the patient that is unique within a defined scope. Example: National ID (birth number) for Czech patient. Multiple identifiers could be provided. ##334#</v>
      </c>
    </row>
    <row r="13" spans="3:5" ht="59" x14ac:dyDescent="0.75">
      <c r="C13" s="20" t="str">
        <f>IF(Subj!I13="","//---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5" ht="29.5" x14ac:dyDescent="0.75">
      <c r="C14" s="20" t="str">
        <f>IF(Subj!I14="","//--- END",Subj!I14)</f>
        <v>* address-telecom 0..* BackboneElement ##34#A.1.2 Patient/subject related contact information   ##34# ##334#A.1.2 Patient/subject related contact information   ##334#</v>
      </c>
    </row>
    <row r="15" spans="3:5" ht="59" x14ac:dyDescent="0.75">
      <c r="C15" s="20" t="str">
        <f>IF(Subj!I15="","//---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5" ht="29.5" x14ac:dyDescent="0.75">
      <c r="C16" s="20" t="str">
        <f>IF(Subj!I16="","//--- END",Subj!I16)</f>
        <v>* address-telecom.telecom 0..* ContactPoint ##34#A.1.2.2 Telecom##34# ##334#Telecommunication contact information (addresses) associated to a person. Multiple telecommunication addresses might be provided. - Preferred system(s): ##334#</v>
      </c>
    </row>
    <row r="17" spans="3:3" ht="29.5" x14ac:dyDescent="0.75">
      <c r="C17" s="20" t="str">
        <f>IF(Subj!I17="","//--- END",Subj!I17)</f>
        <v>//--- END</v>
      </c>
    </row>
    <row r="30" spans="3:3" x14ac:dyDescent="0.75">
      <c r="C30" s="41" t="str">
        <f>'Subj-Map-1'!E1</f>
        <v>// -------------------------------------------------------------------------------</v>
      </c>
    </row>
    <row r="31" spans="3:3" x14ac:dyDescent="0.75">
      <c r="C31" s="42" t="str">
        <f>'Subj-Map-1'!E2</f>
        <v>//  Map to FHIR R4</v>
      </c>
    </row>
    <row r="32" spans="3:3" x14ac:dyDescent="0.75">
      <c r="C32" s="42" t="str">
        <f>'Subj-Map-1'!E3</f>
        <v>// -------------------------------------------------------------------------------</v>
      </c>
    </row>
    <row r="33" spans="3:7" x14ac:dyDescent="0.75">
      <c r="C33" s="20" t="str">
        <f>'Subj-Map-1'!E4</f>
        <v>Mapping: eHNLabSubject2Fhir</v>
      </c>
    </row>
    <row r="34" spans="3:7" x14ac:dyDescent="0.75">
      <c r="C34" s="20" t="str">
        <f>'Subj-Map-1'!E5</f>
        <v>Id: fhir</v>
      </c>
    </row>
    <row r="35" spans="3:7" x14ac:dyDescent="0.75">
      <c r="C35" s="20" t="str">
        <f>'Subj-Map-1'!E6</f>
        <v>Title: ##34#Idea4RC Subject model to FHIR R4 Map##34#</v>
      </c>
    </row>
    <row r="36" spans="3:7" x14ac:dyDescent="0.75">
      <c r="C36" s="20" t="str">
        <f>'Subj-Map-1'!E7</f>
        <v>Source: Subject</v>
      </c>
    </row>
    <row r="37" spans="3:7" x14ac:dyDescent="0.75">
      <c r="C37" s="20" t="str">
        <f>'Subj-Map-1'!E8</f>
        <v>Target: ##34#hl7.org/fhir/r4##34#</v>
      </c>
    </row>
    <row r="39" spans="3:7" x14ac:dyDescent="0.75">
      <c r="C39" s="20" t="str">
        <f>'Subj-Map-1'!E9</f>
        <v>* -&gt; ##34#Patient.conformsTo('http://hl7.eu/fhir/ig/xeh/StructureDefinition/Patient-eu-xeh')##34#</v>
      </c>
    </row>
    <row r="40" spans="3:7" x14ac:dyDescent="0.75">
      <c r="C40" s="20" t="str">
        <f>IF('Subj-Map-1'!E10="","// --END",'Subj-Map-1'!E10)</f>
        <v>* identification -&gt; ##34#Patient##34#</v>
      </c>
    </row>
    <row r="41" spans="3:7" x14ac:dyDescent="0.75">
      <c r="C41" s="20" t="str">
        <f>IF('Subj-Map-1'!E11="","// --END",'Subj-Map-1'!E11)</f>
        <v>* identification.familyName -&gt; ##34#Patient.name.family##34#</v>
      </c>
    </row>
    <row r="42" spans="3:7" x14ac:dyDescent="0.75">
      <c r="C42" s="20" t="str">
        <f>IF('Subj-Map-1'!E12="","// --END",'Subj-Map-1'!E12)</f>
        <v>* identification.givenName -&gt; ##34#Patient.name.given##34#</v>
      </c>
    </row>
    <row r="43" spans="3:7" x14ac:dyDescent="0.75">
      <c r="C43" s="20" t="str">
        <f>IF('Subj-Map-1'!E13="","// --END",'Subj-Map-1'!E13)</f>
        <v>* identification.dateOfBirth -&gt; ##34#Patient.birthDate##34#</v>
      </c>
    </row>
    <row r="44" spans="3:7" x14ac:dyDescent="0.75">
      <c r="C44" s="20" t="str">
        <f>IF('Subj-Map-1'!E14="","// --END",'Subj-Map-1'!E14)</f>
        <v>* identification.identifier -&gt; ##34#Patient.identifier##34#</v>
      </c>
    </row>
    <row r="45" spans="3:7" x14ac:dyDescent="0.75">
      <c r="C45" s="20" t="str">
        <f>IF('Subj-Map-1'!E15="","// --END",'Subj-Map-1'!E15)</f>
        <v>* identification.gender -&gt; ##34#Patient.gender##34#</v>
      </c>
    </row>
    <row r="46" spans="3:7" x14ac:dyDescent="0.75">
      <c r="C46" s="20" t="str">
        <f>IF('Subj-Map-1'!E16="","// --END",'Subj-Map-1'!E16)</f>
        <v>* address-telecom -&gt; ##34#Patient.address##34#</v>
      </c>
    </row>
    <row r="47" spans="3:7" x14ac:dyDescent="0.75">
      <c r="C47" s="20" t="str">
        <f>IF('Subj-Map-1'!E17="","// --END",'Subj-Map-1'!E17)</f>
        <v>* address-telecom.address -&gt; ##34#Patient.gender##34#</v>
      </c>
    </row>
    <row r="48" spans="3:7" x14ac:dyDescent="0.75">
      <c r="C48" s="20" t="str">
        <f>IF('Subj-Map-1'!E18="","// --END",'Subj-Map-1'!E18)</f>
        <v>* address-telecom.telecom -&gt; ##34#Patient.telecom##34#</v>
      </c>
      <c r="G48" s="13"/>
    </row>
    <row r="49" spans="3:3" x14ac:dyDescent="0.75">
      <c r="C49" s="20" t="str">
        <f>IF('Subj-Map-1'!E19="","// --END",'Subj-Map-1'!E19)</f>
        <v>// --END</v>
      </c>
    </row>
    <row r="112" spans="3:3" x14ac:dyDescent="0.75">
      <c r="C112" s="20" t="e">
        <f>#REF!</f>
        <v>#REF!</v>
      </c>
    </row>
    <row r="113" spans="3:3" x14ac:dyDescent="0.75">
      <c r="C113" s="20" t="e">
        <f>#REF!</f>
        <v>#REF!</v>
      </c>
    </row>
    <row r="114" spans="3:3" x14ac:dyDescent="0.75">
      <c r="C114" s="20" t="e">
        <f>#REF!</f>
        <v>#REF!</v>
      </c>
    </row>
    <row r="115" spans="3:3" x14ac:dyDescent="0.75">
      <c r="C115" s="20" t="e">
        <f>#REF!</f>
        <v>#REF!</v>
      </c>
    </row>
    <row r="116" spans="3:3" x14ac:dyDescent="0.75">
      <c r="C116" s="20" t="e">
        <f>#REF!</f>
        <v>#REF!</v>
      </c>
    </row>
    <row r="117" spans="3:3" x14ac:dyDescent="0.75">
      <c r="C117" s="20" t="e">
        <f>#REF!</f>
        <v>#REF!</v>
      </c>
    </row>
    <row r="118" spans="3:3" x14ac:dyDescent="0.75">
      <c r="C118" s="20" t="e">
        <f>#REF!</f>
        <v>#REF!</v>
      </c>
    </row>
    <row r="119" spans="3:3" x14ac:dyDescent="0.75">
      <c r="C119" s="20" t="e">
        <f>#REF!</f>
        <v>#REF!</v>
      </c>
    </row>
    <row r="120" spans="3:3" x14ac:dyDescent="0.75">
      <c r="C120" s="20" t="e">
        <f>#REF!</f>
        <v>#REF!</v>
      </c>
    </row>
    <row r="121" spans="3:3" x14ac:dyDescent="0.75">
      <c r="C121" s="20" t="e">
        <f>#REF!</f>
        <v>#REF!</v>
      </c>
    </row>
    <row r="122" spans="3:3" x14ac:dyDescent="0.75">
      <c r="C122" s="20" t="e">
        <f>#REF!</f>
        <v>#REF!</v>
      </c>
    </row>
    <row r="123" spans="3:3" x14ac:dyDescent="0.75">
      <c r="C123" s="20" t="e">
        <f>#REF!</f>
        <v>#REF!</v>
      </c>
    </row>
    <row r="124" spans="3:3" x14ac:dyDescent="0.75">
      <c r="C124" s="20" t="e">
        <f>#REF!</f>
        <v>#REF!</v>
      </c>
    </row>
    <row r="125" spans="3:3" x14ac:dyDescent="0.75">
      <c r="C125" s="20" t="e">
        <f>#REF!</f>
        <v>#REF!</v>
      </c>
    </row>
    <row r="126" spans="3:3" x14ac:dyDescent="0.75">
      <c r="C126" s="20" t="e">
        <f>#REF!</f>
        <v>#REF!</v>
      </c>
    </row>
    <row r="127" spans="3:3" x14ac:dyDescent="0.75">
      <c r="C127" s="20" t="e">
        <f>#REF!</f>
        <v>#REF!</v>
      </c>
    </row>
    <row r="128" spans="3:3" x14ac:dyDescent="0.75">
      <c r="C128" s="20" t="e">
        <f>#REF!</f>
        <v>#REF!</v>
      </c>
    </row>
    <row r="129" spans="3:3" x14ac:dyDescent="0.75">
      <c r="C129" s="20" t="e">
        <f>#REF!</f>
        <v>#REF!</v>
      </c>
    </row>
    <row r="130" spans="3:3" x14ac:dyDescent="0.75">
      <c r="C130" s="20" t="e">
        <f>#REF!</f>
        <v>#REF!</v>
      </c>
    </row>
    <row r="131" spans="3:3" x14ac:dyDescent="0.75">
      <c r="C131" s="20" t="e">
        <f>#REF!</f>
        <v>#REF!</v>
      </c>
    </row>
    <row r="132" spans="3:3" x14ac:dyDescent="0.75">
      <c r="C132" s="20" t="e">
        <f>#REF!</f>
        <v>#REF!</v>
      </c>
    </row>
    <row r="133" spans="3:3" x14ac:dyDescent="0.75">
      <c r="C133" s="20" t="e">
        <f>#REF!</f>
        <v>#REF!</v>
      </c>
    </row>
    <row r="134" spans="3:3" x14ac:dyDescent="0.75">
      <c r="C134" s="20" t="e">
        <f>#REF!</f>
        <v>#REF!</v>
      </c>
    </row>
    <row r="135" spans="3:3" x14ac:dyDescent="0.75">
      <c r="C135" s="20" t="e">
        <f>#REF!</f>
        <v>#REF!</v>
      </c>
    </row>
    <row r="136" spans="3:3" x14ac:dyDescent="0.75">
      <c r="C136" s="20" t="e">
        <f>#REF!</f>
        <v>#REF!</v>
      </c>
    </row>
    <row r="137" spans="3:3" x14ac:dyDescent="0.75">
      <c r="C137" s="20" t="e">
        <f>#REF!</f>
        <v>#REF!</v>
      </c>
    </row>
    <row r="138" spans="3:3" x14ac:dyDescent="0.75">
      <c r="C138" s="20" t="e">
        <f>#REF!</f>
        <v>#REF!</v>
      </c>
    </row>
    <row r="139" spans="3:3" x14ac:dyDescent="0.75">
      <c r="C139" s="20" t="e">
        <f>#REF!</f>
        <v>#REF!</v>
      </c>
    </row>
    <row r="140" spans="3:3" x14ac:dyDescent="0.75">
      <c r="C140" s="20" t="e">
        <f>#REF!</f>
        <v>#REF!</v>
      </c>
    </row>
    <row r="141" spans="3:3" x14ac:dyDescent="0.75">
      <c r="C141" s="20" t="e">
        <f>#REF!</f>
        <v>#REF!</v>
      </c>
    </row>
    <row r="142" spans="3:3" x14ac:dyDescent="0.75">
      <c r="C142" s="20" t="e">
        <f>#REF!</f>
        <v>#REF!</v>
      </c>
    </row>
    <row r="143" spans="3:3" x14ac:dyDescent="0.75">
      <c r="C143" s="20" t="e">
        <f>#REF!</f>
        <v>#REF!</v>
      </c>
    </row>
    <row r="144" spans="3:3" x14ac:dyDescent="0.75">
      <c r="C144" s="20" t="e">
        <f>#REF!</f>
        <v>#REF!</v>
      </c>
    </row>
    <row r="145" spans="3:3" x14ac:dyDescent="0.75">
      <c r="C145" s="20" t="e">
        <f>#REF!</f>
        <v>#REF!</v>
      </c>
    </row>
    <row r="146" spans="3:3" x14ac:dyDescent="0.75">
      <c r="C146" s="20" t="e">
        <f>#REF!</f>
        <v>#REF!</v>
      </c>
    </row>
    <row r="147" spans="3:3" x14ac:dyDescent="0.75">
      <c r="C147" s="20" t="e">
        <f>#REF!</f>
        <v>#REF!</v>
      </c>
    </row>
    <row r="148" spans="3:3" x14ac:dyDescent="0.75">
      <c r="C148" s="20" t="e">
        <f>#REF!</f>
        <v>#REF!</v>
      </c>
    </row>
    <row r="149" spans="3:3" x14ac:dyDescent="0.75">
      <c r="C149" s="20" t="e">
        <f>#REF!</f>
        <v>#REF!</v>
      </c>
    </row>
    <row r="150" spans="3:3" x14ac:dyDescent="0.75">
      <c r="C150" s="20" t="e">
        <f>#REF!</f>
        <v>#REF!</v>
      </c>
    </row>
    <row r="151" spans="3:3" x14ac:dyDescent="0.75">
      <c r="C151" s="20" t="e">
        <f>#REF!</f>
        <v>#REF!</v>
      </c>
    </row>
    <row r="152" spans="3:3" x14ac:dyDescent="0.75">
      <c r="C152" s="20" t="e">
        <f>#REF!</f>
        <v>#REF!</v>
      </c>
    </row>
    <row r="153" spans="3:3" x14ac:dyDescent="0.75">
      <c r="C153" s="20" t="e">
        <f>#REF!</f>
        <v>#REF!</v>
      </c>
    </row>
    <row r="154" spans="3:3" x14ac:dyDescent="0.75">
      <c r="C154" s="20" t="e">
        <f>#REF!</f>
        <v>#REF!</v>
      </c>
    </row>
    <row r="155" spans="3:3" x14ac:dyDescent="0.75">
      <c r="C155" s="20" t="e">
        <f>#REF!</f>
        <v>#REF!</v>
      </c>
    </row>
    <row r="156" spans="3:3" x14ac:dyDescent="0.75">
      <c r="C156" s="20" t="e">
        <f>#REF!</f>
        <v>#REF!</v>
      </c>
    </row>
    <row r="157" spans="3:3" x14ac:dyDescent="0.75">
      <c r="C157" s="20" t="e">
        <f>#REF!</f>
        <v>#REF!</v>
      </c>
    </row>
    <row r="158" spans="3:3" x14ac:dyDescent="0.75">
      <c r="C158" s="20" t="e">
        <f>#REF!</f>
        <v>#REF!</v>
      </c>
    </row>
    <row r="159" spans="3:3" x14ac:dyDescent="0.75">
      <c r="C159" s="20" t="e">
        <f>#REF!</f>
        <v>#REF!</v>
      </c>
    </row>
    <row r="160" spans="3:3" x14ac:dyDescent="0.75">
      <c r="C160" s="20" t="e">
        <f>#REF!</f>
        <v>#REF!</v>
      </c>
    </row>
    <row r="161" spans="3:3" x14ac:dyDescent="0.75">
      <c r="C161" s="20" t="e">
        <f>#REF!</f>
        <v>#REF!</v>
      </c>
    </row>
    <row r="162" spans="3:3" x14ac:dyDescent="0.75">
      <c r="C162" s="20" t="e">
        <f>#REF!</f>
        <v>#REF!</v>
      </c>
    </row>
    <row r="163" spans="3:3" x14ac:dyDescent="0.75">
      <c r="C163" s="20" t="e">
        <f>#REF!</f>
        <v>#REF!</v>
      </c>
    </row>
    <row r="164" spans="3:3" x14ac:dyDescent="0.75">
      <c r="C164" s="20" t="e">
        <f>#REF!</f>
        <v>#REF!</v>
      </c>
    </row>
    <row r="165" spans="3:3" x14ac:dyDescent="0.75">
      <c r="C165" s="20" t="e">
        <f>#REF!</f>
        <v>#REF!</v>
      </c>
    </row>
    <row r="166" spans="3:3" x14ac:dyDescent="0.75">
      <c r="C166" s="20" t="e">
        <f>#REF!</f>
        <v>#REF!</v>
      </c>
    </row>
    <row r="167" spans="3:3" x14ac:dyDescent="0.75">
      <c r="C167" s="20" t="e">
        <f>#REF!</f>
        <v>#REF!</v>
      </c>
    </row>
    <row r="168" spans="3:3" x14ac:dyDescent="0.75">
      <c r="C168" s="20" t="e">
        <f>#REF!</f>
        <v>#REF!</v>
      </c>
    </row>
    <row r="169" spans="3:3" x14ac:dyDescent="0.75">
      <c r="C169" s="20" t="e">
        <f>#REF!</f>
        <v>#REF!</v>
      </c>
    </row>
    <row r="170" spans="3:3" x14ac:dyDescent="0.75">
      <c r="C170" s="20" t="e">
        <f>#REF!</f>
        <v>#REF!</v>
      </c>
    </row>
    <row r="171" spans="3:3" x14ac:dyDescent="0.75">
      <c r="C171" s="20" t="e">
        <f>#REF!</f>
        <v>#REF!</v>
      </c>
    </row>
    <row r="172" spans="3:3" x14ac:dyDescent="0.75">
      <c r="C172" s="20" t="e">
        <f>#REF!</f>
        <v>#REF!</v>
      </c>
    </row>
    <row r="173" spans="3:3" x14ac:dyDescent="0.75">
      <c r="C173" s="20" t="e">
        <f>#REF!</f>
        <v>#REF!</v>
      </c>
    </row>
    <row r="174" spans="3:3" x14ac:dyDescent="0.75">
      <c r="C174" s="20" t="e">
        <f>#REF!</f>
        <v>#REF!</v>
      </c>
    </row>
    <row r="175" spans="3:3" x14ac:dyDescent="0.75">
      <c r="C175" s="20" t="e">
        <f>#REF!</f>
        <v>#REF!</v>
      </c>
    </row>
    <row r="176" spans="3:3" x14ac:dyDescent="0.75">
      <c r="C176" s="20" t="e">
        <f>#REF!</f>
        <v>#REF!</v>
      </c>
    </row>
    <row r="177" spans="3:3" x14ac:dyDescent="0.75">
      <c r="C177" s="20" t="e">
        <f>#REF!</f>
        <v>#REF!</v>
      </c>
    </row>
    <row r="178" spans="3:3" x14ac:dyDescent="0.75">
      <c r="C178" s="20" t="e">
        <f>#REF!</f>
        <v>#REF!</v>
      </c>
    </row>
    <row r="179" spans="3:3" x14ac:dyDescent="0.75">
      <c r="C179" s="20" t="e">
        <f>#REF!</f>
        <v>#REF!</v>
      </c>
    </row>
    <row r="180" spans="3:3" x14ac:dyDescent="0.75">
      <c r="C180" s="20" t="e">
        <f>#REF!</f>
        <v>#REF!</v>
      </c>
    </row>
    <row r="181" spans="3:3" x14ac:dyDescent="0.75">
      <c r="C181" s="20" t="e">
        <f>#REF!</f>
        <v>#REF!</v>
      </c>
    </row>
    <row r="182" spans="3:3" x14ac:dyDescent="0.75">
      <c r="C182" s="20" t="e">
        <f>#REF!</f>
        <v>#REF!</v>
      </c>
    </row>
    <row r="183" spans="3:3" x14ac:dyDescent="0.75">
      <c r="C183" s="20" t="e">
        <f>#REF!</f>
        <v>#REF!</v>
      </c>
    </row>
    <row r="184" spans="3:3" x14ac:dyDescent="0.75">
      <c r="C184" s="20" t="e">
        <f>#REF!</f>
        <v>#REF!</v>
      </c>
    </row>
    <row r="185" spans="3:3" x14ac:dyDescent="0.75">
      <c r="C185" s="20" t="e">
        <f>#REF!</f>
        <v>#REF!</v>
      </c>
    </row>
    <row r="186" spans="3:3" x14ac:dyDescent="0.75">
      <c r="C186" s="20" t="e">
        <f>#REF!</f>
        <v>#REF!</v>
      </c>
    </row>
    <row r="187" spans="3:3" x14ac:dyDescent="0.75">
      <c r="C187" s="20" t="e">
        <f>#REF!</f>
        <v>#REF!</v>
      </c>
    </row>
    <row r="188" spans="3:3" x14ac:dyDescent="0.75">
      <c r="C188" s="20" t="e">
        <f>#REF!</f>
        <v>#REF!</v>
      </c>
    </row>
    <row r="189" spans="3:3" x14ac:dyDescent="0.75">
      <c r="C189" s="20" t="e">
        <f>#REF!</f>
        <v>#REF!</v>
      </c>
    </row>
    <row r="190" spans="3:3" x14ac:dyDescent="0.75">
      <c r="C190" s="20" t="e">
        <f>#REF!</f>
        <v>#REF!</v>
      </c>
    </row>
    <row r="191" spans="3:3" x14ac:dyDescent="0.75">
      <c r="C191" s="20" t="e">
        <f>#REF!</f>
        <v>#REF!</v>
      </c>
    </row>
    <row r="192" spans="3:3" x14ac:dyDescent="0.75">
      <c r="C192" s="20" t="e">
        <f>#REF!</f>
        <v>#REF!</v>
      </c>
    </row>
    <row r="193" spans="3:3" x14ac:dyDescent="0.75">
      <c r="C193" s="20" t="e">
        <f>#REF!</f>
        <v>#REF!</v>
      </c>
    </row>
    <row r="194" spans="3:3" x14ac:dyDescent="0.75">
      <c r="C194" s="20" t="e">
        <f>#REF!</f>
        <v>#REF!</v>
      </c>
    </row>
    <row r="195" spans="3:3" x14ac:dyDescent="0.75">
      <c r="C195" s="20" t="e">
        <f>#REF!</f>
        <v>#REF!</v>
      </c>
    </row>
    <row r="196" spans="3:3" x14ac:dyDescent="0.75">
      <c r="C196" s="20" t="e">
        <f>#REF!</f>
        <v>#REF!</v>
      </c>
    </row>
    <row r="197" spans="3:3" x14ac:dyDescent="0.75">
      <c r="C197" s="20" t="e">
        <f>#REF!</f>
        <v>#REF!</v>
      </c>
    </row>
    <row r="198" spans="3:3" x14ac:dyDescent="0.75">
      <c r="C198" s="20" t="e">
        <f>#REF!</f>
        <v>#REF!</v>
      </c>
    </row>
    <row r="199" spans="3:3" x14ac:dyDescent="0.75">
      <c r="C199" s="20" t="e">
        <f>#REF!</f>
        <v>#REF!</v>
      </c>
    </row>
    <row r="200" spans="3:3" x14ac:dyDescent="0.75">
      <c r="C200" s="20" t="e">
        <f>#REF!</f>
        <v>#REF!</v>
      </c>
    </row>
    <row r="201" spans="3:3" x14ac:dyDescent="0.75">
      <c r="C201" s="20" t="e">
        <f>#REF!</f>
        <v>#REF!</v>
      </c>
    </row>
    <row r="202" spans="3:3" x14ac:dyDescent="0.75">
      <c r="C202" s="20" t="e">
        <f>#REF!</f>
        <v>#REF!</v>
      </c>
    </row>
    <row r="203" spans="3:3" x14ac:dyDescent="0.75">
      <c r="C203" s="20" t="e">
        <f>#REF!</f>
        <v>#REF!</v>
      </c>
    </row>
    <row r="204" spans="3:3" x14ac:dyDescent="0.75">
      <c r="C204" s="20" t="e">
        <f>#REF!</f>
        <v>#REF!</v>
      </c>
    </row>
    <row r="205" spans="3:3" x14ac:dyDescent="0.75">
      <c r="C205" s="20" t="e">
        <f>#REF!</f>
        <v>#REF!</v>
      </c>
    </row>
    <row r="206" spans="3:3" x14ac:dyDescent="0.75">
      <c r="C206" s="20" t="e">
        <f>#REF!</f>
        <v>#REF!</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salvaSubject">
                <anchor moveWithCells="1">
                  <from>
                    <xdr:col>4</xdr:col>
                    <xdr:colOff>190500</xdr:colOff>
                    <xdr:row>0</xdr:row>
                    <xdr:rowOff>101600</xdr:rowOff>
                  </from>
                  <to>
                    <xdr:col>5</xdr:col>
                    <xdr:colOff>254000</xdr:colOff>
                    <xdr:row>2</xdr:row>
                    <xdr:rowOff>12700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dimension ref="A1:L33"/>
  <sheetViews>
    <sheetView workbookViewId="0">
      <selection activeCell="B16" sqref="B16:H16"/>
    </sheetView>
  </sheetViews>
  <sheetFormatPr defaultRowHeight="14.75" x14ac:dyDescent="0.75"/>
  <cols>
    <col min="1" max="1" width="16.54296875" style="17" customWidth="1"/>
    <col min="2" max="2" width="59.5" style="17" customWidth="1"/>
    <col min="3" max="3" width="44.6328125" style="17" customWidth="1"/>
    <col min="4" max="4" width="71.58984375" style="18" bestFit="1" customWidth="1"/>
    <col min="5" max="5" width="10.81640625" style="17" customWidth="1"/>
    <col min="6" max="6" width="9" style="17" customWidth="1"/>
    <col min="7" max="8" width="21.76953125" style="17" customWidth="1"/>
    <col min="9" max="9" width="67.1796875" style="18" customWidth="1"/>
    <col min="10" max="10" width="19.31640625" style="17" customWidth="1"/>
    <col min="11" max="11" width="8.7265625" style="17"/>
    <col min="12" max="12" width="45.81640625" style="18" customWidth="1"/>
    <col min="13" max="13" width="8.7265625" style="17" customWidth="1"/>
    <col min="14" max="16384" width="8.7265625" style="17"/>
  </cols>
  <sheetData>
    <row r="1" spans="1:11" x14ac:dyDescent="0.75">
      <c r="B1" s="22"/>
      <c r="C1" s="22"/>
      <c r="D1" s="3"/>
      <c r="I1" s="41" t="s">
        <v>39</v>
      </c>
    </row>
    <row r="2" spans="1:11" x14ac:dyDescent="0.75">
      <c r="B2" s="22"/>
      <c r="C2" s="22"/>
      <c r="D2" s="3"/>
      <c r="I2" s="42" t="s">
        <v>38</v>
      </c>
    </row>
    <row r="3" spans="1:11" ht="15.5" thickBot="1" x14ac:dyDescent="0.9">
      <c r="B3" s="22"/>
      <c r="C3" s="22"/>
      <c r="D3" s="3"/>
      <c r="I3" s="42" t="str">
        <f>I1</f>
        <v>// -------------------------------------------------------------------------------</v>
      </c>
    </row>
    <row r="4" spans="1:11" x14ac:dyDescent="0.75">
      <c r="A4" s="7" t="s">
        <v>15</v>
      </c>
      <c r="B4" s="25" t="s">
        <v>292</v>
      </c>
      <c r="C4" s="22"/>
      <c r="D4" s="3"/>
      <c r="I4" s="34" t="str">
        <f>CONCATENATE("Logical: ",B4)</f>
        <v>Logical: SubjectLabEhn</v>
      </c>
    </row>
    <row r="5" spans="1:11" x14ac:dyDescent="0.75">
      <c r="A5" s="26" t="s">
        <v>20</v>
      </c>
      <c r="B5" s="44" t="s">
        <v>12</v>
      </c>
      <c r="C5" s="22"/>
      <c r="D5" s="3"/>
      <c r="I5" s="34" t="str">
        <f>CONCATENATE("Id: ",B5)</f>
        <v>Id: Subject</v>
      </c>
    </row>
    <row r="6" spans="1:11" x14ac:dyDescent="0.75">
      <c r="A6" s="28" t="s">
        <v>13</v>
      </c>
      <c r="B6" s="27" t="s">
        <v>14</v>
      </c>
      <c r="C6" s="22"/>
      <c r="D6" s="3"/>
      <c r="I6" s="35" t="str">
        <f>CONCATENATE("Title: ##34#",B6,"##34#")</f>
        <v>Title: ##34#Subject of care##34#</v>
      </c>
    </row>
    <row r="7" spans="1:11" ht="15.5" thickBot="1" x14ac:dyDescent="0.9">
      <c r="A7" s="29" t="s">
        <v>5</v>
      </c>
      <c r="B7" s="30" t="s">
        <v>293</v>
      </c>
      <c r="C7" s="15" t="s">
        <v>6</v>
      </c>
      <c r="D7" s="2" t="s">
        <v>7</v>
      </c>
      <c r="E7" s="4" t="s">
        <v>8</v>
      </c>
      <c r="F7" s="4" t="s">
        <v>9</v>
      </c>
      <c r="G7" s="4" t="s">
        <v>10</v>
      </c>
      <c r="I7" s="35" t="str">
        <f>CONCATENATE("Description: "," ##334#",B7,"##334#",)</f>
        <v>Description:  ##334#Patient or Subject of care##334#</v>
      </c>
    </row>
    <row r="8" spans="1:11" ht="29.5" x14ac:dyDescent="0.75">
      <c r="A8" s="19">
        <v>1</v>
      </c>
      <c r="B8" s="19" t="s">
        <v>298</v>
      </c>
      <c r="C8" s="24" t="s">
        <v>318</v>
      </c>
      <c r="D8" s="20" t="s">
        <v>318</v>
      </c>
      <c r="E8" s="19">
        <v>1</v>
      </c>
      <c r="F8" s="19">
        <v>1</v>
      </c>
      <c r="G8" s="19" t="s">
        <v>4</v>
      </c>
      <c r="H8" s="32"/>
      <c r="I8" s="43" t="str">
        <f>CONCATENATE("* ",B8, " ",E8,"..",F8," ",G8," ##34#",C8,"##34# ##334#",D8,"##334#")</f>
        <v>* identification 1..1 BackboneElement ##34#A.1.1 Identification of the patient/subject##34# ##334#A.1.1 Identification of the patient/subject##334#</v>
      </c>
    </row>
    <row r="9" spans="1:11" ht="59" x14ac:dyDescent="0.75">
      <c r="A9" s="19">
        <v>2</v>
      </c>
      <c r="B9" s="19" t="s">
        <v>300</v>
      </c>
      <c r="C9" s="24" t="s">
        <v>317</v>
      </c>
      <c r="D9" s="20" t="s">
        <v>299</v>
      </c>
      <c r="E9" s="19">
        <v>0</v>
      </c>
      <c r="F9" s="19" t="s">
        <v>11</v>
      </c>
      <c r="G9" s="19" t="s">
        <v>3</v>
      </c>
      <c r="H9" s="32"/>
      <c r="I9" s="43" t="str">
        <f t="shared" ref="I9:I16"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19">
        <v>3</v>
      </c>
      <c r="B10" s="19" t="s">
        <v>301</v>
      </c>
      <c r="C10" s="24" t="s">
        <v>319</v>
      </c>
      <c r="D10" s="20" t="s">
        <v>320</v>
      </c>
      <c r="E10" s="19">
        <v>0</v>
      </c>
      <c r="F10" s="19" t="s">
        <v>11</v>
      </c>
      <c r="G10" s="19" t="s">
        <v>3</v>
      </c>
      <c r="H10" s="32"/>
      <c r="I10" s="43" t="str">
        <f t="shared" si="0"/>
        <v>* identification.givenName 0..* string ##34#A.1.1.2 Given name ##34# ##334#The given name/first name of the patient (also known as forename or first name). This field can contain more than one element. ##334#</v>
      </c>
    </row>
    <row r="11" spans="1:11" ht="73.75" x14ac:dyDescent="0.75">
      <c r="A11" s="19">
        <v>4</v>
      </c>
      <c r="B11" s="19" t="s">
        <v>302</v>
      </c>
      <c r="C11" s="24" t="s">
        <v>321</v>
      </c>
      <c r="D11" s="20" t="s">
        <v>322</v>
      </c>
      <c r="E11" s="19">
        <v>0</v>
      </c>
      <c r="F11" s="19">
        <v>1</v>
      </c>
      <c r="G11" s="19" t="s">
        <v>2</v>
      </c>
      <c r="H11" s="32"/>
      <c r="I11" s="43" t="str">
        <f t="shared" si="0"/>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19">
        <v>5</v>
      </c>
      <c r="B12" s="19" t="s">
        <v>303</v>
      </c>
      <c r="C12" s="19" t="s">
        <v>323</v>
      </c>
      <c r="D12" s="20" t="s">
        <v>324</v>
      </c>
      <c r="E12" s="19">
        <v>0</v>
      </c>
      <c r="F12" s="19">
        <v>1</v>
      </c>
      <c r="G12" s="19" t="s">
        <v>0</v>
      </c>
      <c r="H12" s="32"/>
      <c r="I12" s="43" t="str">
        <f t="shared" si="0"/>
        <v>* identification.identifier 0..1 Identifier ##34#A.1.1.4 Personal identifier ##34# ##334#An identifier of the patient that is unique within a defined scope. Example: National ID (birth number) for Czech patient. Multiple identifiers could be provided. ##334#</v>
      </c>
    </row>
    <row r="13" spans="1:11" ht="73.75" x14ac:dyDescent="0.75">
      <c r="A13" s="19">
        <v>6</v>
      </c>
      <c r="B13" s="19" t="s">
        <v>304</v>
      </c>
      <c r="C13" s="24" t="s">
        <v>294</v>
      </c>
      <c r="D13" s="20" t="s">
        <v>325</v>
      </c>
      <c r="E13" s="19">
        <v>0</v>
      </c>
      <c r="F13" s="19">
        <v>1</v>
      </c>
      <c r="G13" s="19" t="s">
        <v>1</v>
      </c>
      <c r="H13" s="32"/>
      <c r="I13" s="43"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19">
        <v>7</v>
      </c>
      <c r="B14" s="19" t="s">
        <v>313</v>
      </c>
      <c r="C14" s="24" t="s">
        <v>326</v>
      </c>
      <c r="D14" s="63" t="s">
        <v>326</v>
      </c>
      <c r="E14" s="19">
        <v>0</v>
      </c>
      <c r="F14" s="19" t="s">
        <v>11</v>
      </c>
      <c r="G14" s="19" t="s">
        <v>4</v>
      </c>
      <c r="H14" s="32"/>
      <c r="I14" s="43" t="str">
        <f t="shared" si="0"/>
        <v>* address-telecom 0..* BackboneElement ##34#A.1.2 Patient/subject related contact information   ##34# ##334#A.1.2 Patient/subject related contact information   ##334#</v>
      </c>
    </row>
    <row r="15" spans="1:11" ht="103.25" x14ac:dyDescent="0.75">
      <c r="A15" s="19">
        <v>8</v>
      </c>
      <c r="B15" s="19" t="s">
        <v>314</v>
      </c>
      <c r="C15" s="19" t="s">
        <v>295</v>
      </c>
      <c r="D15" s="20" t="s">
        <v>327</v>
      </c>
      <c r="E15" s="19">
        <v>0</v>
      </c>
      <c r="F15" s="19" t="s">
        <v>11</v>
      </c>
      <c r="G15" s="19" t="s">
        <v>66</v>
      </c>
      <c r="H15" s="32"/>
      <c r="I15" s="43"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4"/>
      <c r="K15" s="19"/>
    </row>
    <row r="16" spans="1:11" ht="29.5" customHeight="1" x14ac:dyDescent="0.75">
      <c r="A16" s="19">
        <v>9</v>
      </c>
      <c r="B16" s="19" t="s">
        <v>315</v>
      </c>
      <c r="C16" s="19" t="s">
        <v>296</v>
      </c>
      <c r="D16" s="20" t="s">
        <v>297</v>
      </c>
      <c r="E16" s="19">
        <v>0</v>
      </c>
      <c r="F16" s="19" t="s">
        <v>11</v>
      </c>
      <c r="G16" s="64" t="s">
        <v>338</v>
      </c>
      <c r="H16" s="19"/>
      <c r="I16" s="43" t="str">
        <f t="shared" si="0"/>
        <v>* address-telecom.telecom 0..* ContactPoint ##34#A.1.2.2 Telecom##34# ##334#Telecommunication contact information (addresses) associated to a person. Multiple telecommunication addresses might be provided. - Preferred system(s): ##334#</v>
      </c>
    </row>
    <row r="17" spans="2:9" x14ac:dyDescent="0.75">
      <c r="I17" s="17"/>
    </row>
    <row r="18" spans="2:9" x14ac:dyDescent="0.75">
      <c r="I18" s="17"/>
    </row>
    <row r="19" spans="2:9" x14ac:dyDescent="0.75">
      <c r="I19" s="17"/>
    </row>
    <row r="20" spans="2:9" x14ac:dyDescent="0.75">
      <c r="I20" s="17"/>
    </row>
    <row r="21" spans="2:9" x14ac:dyDescent="0.75">
      <c r="B21" s="17" t="str">
        <f t="shared" ref="B21:B33" si="1">CONCATENATE(C21," ",D21)</f>
        <v xml:space="preserve"> </v>
      </c>
      <c r="I21" s="17"/>
    </row>
    <row r="22" spans="2:9" ht="15.5" thickBot="1" x14ac:dyDescent="0.9">
      <c r="B22" s="17" t="str">
        <f t="shared" si="1"/>
        <v xml:space="preserve"> </v>
      </c>
      <c r="I22" s="17"/>
    </row>
    <row r="23" spans="2:9" ht="16.75" thickBot="1" x14ac:dyDescent="0.9">
      <c r="C23" s="60" t="s">
        <v>318</v>
      </c>
      <c r="D23" s="60" t="s">
        <v>318</v>
      </c>
      <c r="E23" s="61"/>
      <c r="F23" s="62"/>
      <c r="I23" s="17"/>
    </row>
    <row r="24" spans="2:9" ht="256.75" thickBot="1" x14ac:dyDescent="0.9">
      <c r="B24" s="17" t="str">
        <f t="shared" si="1"/>
        <v>A.1.1.1 Family name/surname</v>
      </c>
      <c r="C24" s="65" t="s">
        <v>46</v>
      </c>
      <c r="D24" s="47" t="s">
        <v>47</v>
      </c>
      <c r="E24" s="47" t="s">
        <v>328</v>
      </c>
      <c r="F24" s="48"/>
      <c r="I24" s="18"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s="17" t="str">
        <f t="shared" si="1"/>
        <v xml:space="preserve">A.1.1.2 Given name </v>
      </c>
      <c r="C25" s="65" t="s">
        <v>49</v>
      </c>
      <c r="D25" s="47" t="s">
        <v>329</v>
      </c>
      <c r="E25" s="47" t="s">
        <v>330</v>
      </c>
      <c r="F25" s="48"/>
      <c r="I25" s="18" t="str">
        <f t="shared" si="2"/>
        <v xml:space="preserve">The given name/first name of the patient (also known as forename or first name). This field can contain more than one element.   - Preferred system(s): </v>
      </c>
    </row>
    <row r="26" spans="2:9" ht="304.75" thickBot="1" x14ac:dyDescent="0.9">
      <c r="B26" s="17" t="str">
        <f t="shared" si="1"/>
        <v xml:space="preserve">A.1.1.3 Date of birth </v>
      </c>
      <c r="C26" s="65" t="s">
        <v>52</v>
      </c>
      <c r="D26" s="47" t="s">
        <v>331</v>
      </c>
      <c r="E26" s="47" t="s">
        <v>54</v>
      </c>
      <c r="F26" s="49" t="s">
        <v>332</v>
      </c>
      <c r="I26" s="18"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s="17" t="str">
        <f t="shared" si="1"/>
        <v xml:space="preserve">A.1.1.4 Personal identifier </v>
      </c>
      <c r="C27" s="65" t="s">
        <v>56</v>
      </c>
      <c r="D27" s="47" t="s">
        <v>333</v>
      </c>
      <c r="E27" s="47" t="s">
        <v>334</v>
      </c>
      <c r="F27" s="48"/>
      <c r="I27" s="18" t="str">
        <f t="shared" si="2"/>
        <v xml:space="preserve">An identifier of the patient that is unique within a defined scope. Example: National ID (birth number) for Czech patient. Multiple identifiers could be provided.   - Preferred system(s): </v>
      </c>
    </row>
    <row r="28" spans="2:9" ht="144" x14ac:dyDescent="0.75">
      <c r="B28" s="17" t="str">
        <f t="shared" si="1"/>
        <v>A.1.1.5 Gender</v>
      </c>
      <c r="C28" s="71" t="s">
        <v>59</v>
      </c>
      <c r="D28" s="71" t="s">
        <v>60</v>
      </c>
      <c r="E28" s="50" t="s">
        <v>61</v>
      </c>
      <c r="F28" s="74" t="s">
        <v>335</v>
      </c>
      <c r="I28" s="18" t="str">
        <f t="shared" si="2"/>
        <v xml:space="preserve">This field must contain a recognised valid value for "administrative gender". - Preferred system(s): HL7 Administrative Gender </v>
      </c>
    </row>
    <row r="29" spans="2:9" ht="14.75" customHeight="1" x14ac:dyDescent="0.75">
      <c r="B29" s="17" t="str">
        <f t="shared" si="1"/>
        <v xml:space="preserve"> </v>
      </c>
      <c r="C29" s="72"/>
      <c r="D29" s="72"/>
      <c r="E29" s="51"/>
      <c r="F29" s="75"/>
      <c r="I29" s="18" t="str">
        <f t="shared" si="2"/>
        <v xml:space="preserve"> - Preferred system(s): </v>
      </c>
    </row>
    <row r="30" spans="2:9" ht="30.25" customHeight="1" thickBot="1" x14ac:dyDescent="0.9">
      <c r="B30" s="17" t="str">
        <f t="shared" si="1"/>
        <v xml:space="preserve"> </v>
      </c>
      <c r="C30" s="73"/>
      <c r="D30" s="73"/>
      <c r="E30" s="47" t="s">
        <v>63</v>
      </c>
      <c r="F30" s="76"/>
      <c r="I30" s="18" t="str">
        <f t="shared" si="2"/>
        <v xml:space="preserve">If different, "physiological gender" should be communicated elsewhere. - Preferred system(s): </v>
      </c>
    </row>
    <row r="31" spans="2:9" ht="16.75" thickBot="1" x14ac:dyDescent="0.9">
      <c r="B31" s="17" t="str">
        <f t="shared" si="1"/>
        <v xml:space="preserve">A.1.2 Patient/subject related contact information   </v>
      </c>
      <c r="C31" s="77" t="s">
        <v>336</v>
      </c>
      <c r="D31" s="78"/>
      <c r="E31" s="78"/>
      <c r="F31" s="79"/>
      <c r="I31" s="18" t="str">
        <f t="shared" si="2"/>
        <v xml:space="preserve"> - Preferred system(s): </v>
      </c>
    </row>
    <row r="32" spans="2:9" ht="409.6" thickBot="1" x14ac:dyDescent="0.9">
      <c r="B32" s="17" t="str">
        <f t="shared" si="1"/>
        <v>A.1.2.1 Address</v>
      </c>
      <c r="C32" s="65" t="s">
        <v>65</v>
      </c>
      <c r="D32" s="47" t="s">
        <v>66</v>
      </c>
      <c r="E32" s="47" t="s">
        <v>67</v>
      </c>
      <c r="F32" s="49" t="s">
        <v>337</v>
      </c>
      <c r="I32" s="18"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s="17" t="str">
        <f t="shared" si="1"/>
        <v>A.1.2.2 Telecom</v>
      </c>
      <c r="C33" s="65" t="s">
        <v>69</v>
      </c>
      <c r="D33" s="47" t="s">
        <v>70</v>
      </c>
      <c r="E33" s="47" t="s">
        <v>71</v>
      </c>
      <c r="F33" s="53"/>
      <c r="I33" s="18"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16" sqref="B16:H16"/>
    </sheetView>
  </sheetViews>
  <sheetFormatPr defaultRowHeight="14.75" x14ac:dyDescent="0.75"/>
  <cols>
    <col min="1" max="1" width="8.7265625" style="17"/>
    <col min="2" max="2" width="31.6796875" style="17" bestFit="1" customWidth="1"/>
    <col min="3" max="3" width="72.1328125" style="17" customWidth="1"/>
    <col min="4" max="4" width="8.04296875" style="17" customWidth="1"/>
    <col min="5" max="5" width="71.58984375" style="18" customWidth="1"/>
    <col min="6" max="6" width="10.76953125" style="17" customWidth="1"/>
    <col min="7" max="7" width="45.26953125" style="17" customWidth="1"/>
    <col min="8" max="16384" width="8.7265625" style="17"/>
  </cols>
  <sheetData>
    <row r="1" spans="1:15" x14ac:dyDescent="0.75">
      <c r="B1" s="22"/>
      <c r="C1" s="22"/>
      <c r="E1" s="33" t="s">
        <v>39</v>
      </c>
      <c r="H1" s="13"/>
      <c r="I1" s="13"/>
      <c r="J1" s="13"/>
      <c r="K1" s="13"/>
      <c r="L1" s="13"/>
      <c r="M1" s="13"/>
      <c r="N1" s="13"/>
      <c r="O1" s="13"/>
    </row>
    <row r="2" spans="1:15" x14ac:dyDescent="0.75">
      <c r="B2" s="22"/>
      <c r="C2" s="22"/>
      <c r="E2" s="40" t="s">
        <v>40</v>
      </c>
      <c r="H2" s="13"/>
      <c r="I2" s="13"/>
      <c r="J2" s="13"/>
      <c r="K2" s="13"/>
      <c r="L2" s="13"/>
      <c r="M2" s="13"/>
      <c r="N2" s="13"/>
      <c r="O2" s="13"/>
    </row>
    <row r="3" spans="1:15" ht="15.5" thickBot="1" x14ac:dyDescent="0.9">
      <c r="B3" s="22"/>
      <c r="C3" s="22"/>
      <c r="E3" s="40" t="str">
        <f>E1</f>
        <v>// -------------------------------------------------------------------------------</v>
      </c>
      <c r="H3" s="13"/>
      <c r="I3" s="13"/>
      <c r="J3" s="13"/>
      <c r="K3" s="13"/>
      <c r="L3" s="13"/>
      <c r="M3" s="13"/>
      <c r="N3" s="13"/>
      <c r="O3" s="13"/>
    </row>
    <row r="4" spans="1:15" ht="15.5" thickBot="1" x14ac:dyDescent="0.9">
      <c r="B4" s="16" t="s">
        <v>35</v>
      </c>
      <c r="C4" s="8" t="s">
        <v>340</v>
      </c>
      <c r="E4" s="37" t="str">
        <f>CONCATENATE("Mapping: ",C4)</f>
        <v>Mapping: eHNLabSubject2Fhir</v>
      </c>
      <c r="G4" s="17" t="s">
        <v>21</v>
      </c>
      <c r="H4" s="13"/>
      <c r="I4" s="13"/>
      <c r="J4" s="13"/>
      <c r="K4" s="13"/>
      <c r="L4" s="13"/>
      <c r="M4" s="13"/>
      <c r="N4" s="13"/>
      <c r="O4" s="13"/>
    </row>
    <row r="5" spans="1:15" ht="15.5" thickBot="1" x14ac:dyDescent="0.9">
      <c r="B5" s="16" t="s">
        <v>20</v>
      </c>
      <c r="C5" s="6" t="s">
        <v>17</v>
      </c>
      <c r="E5" s="38" t="str">
        <f>CONCATENATE("Id: ",C5)</f>
        <v>Id: fhir</v>
      </c>
      <c r="G5" s="18" t="s">
        <v>22</v>
      </c>
      <c r="H5" s="13"/>
      <c r="I5" s="13"/>
      <c r="J5" s="13"/>
      <c r="K5" s="13"/>
      <c r="L5" s="13"/>
      <c r="M5" s="13"/>
      <c r="N5" s="13"/>
      <c r="O5" s="13"/>
    </row>
    <row r="6" spans="1:15" ht="15.5" thickBot="1" x14ac:dyDescent="0.9">
      <c r="B6" s="16" t="s">
        <v>13</v>
      </c>
      <c r="C6" s="12" t="s">
        <v>37</v>
      </c>
      <c r="E6" s="38" t="str">
        <f>CONCATENATE("Title: ##34#",C6,"##34#")</f>
        <v>Title: ##34#Idea4RC Subject model to FHIR R4 Map##34#</v>
      </c>
      <c r="G6" s="18" t="s">
        <v>23</v>
      </c>
      <c r="H6" s="13"/>
      <c r="I6" s="13"/>
      <c r="J6" s="13"/>
      <c r="K6" s="13"/>
      <c r="L6" s="13"/>
      <c r="M6" s="13"/>
      <c r="N6" s="13"/>
      <c r="O6" s="13"/>
    </row>
    <row r="7" spans="1:15" ht="15.5" thickBot="1" x14ac:dyDescent="0.9">
      <c r="B7" s="16" t="s">
        <v>36</v>
      </c>
      <c r="C7" s="14" t="str">
        <f>B9</f>
        <v>Subject</v>
      </c>
      <c r="E7" s="38" t="str">
        <f>CONCATENATE("Source: ",C7)</f>
        <v>Source: Subject</v>
      </c>
      <c r="G7" s="18" t="s">
        <v>24</v>
      </c>
      <c r="H7" s="13"/>
      <c r="I7" s="13"/>
      <c r="J7" s="13"/>
      <c r="K7" s="13"/>
      <c r="L7" s="13"/>
      <c r="M7" s="13"/>
      <c r="N7" s="13"/>
      <c r="O7" s="13"/>
    </row>
    <row r="8" spans="1:15" ht="15.5" thickBot="1" x14ac:dyDescent="0.9">
      <c r="B8" s="36" t="s">
        <v>19</v>
      </c>
      <c r="C8" s="17" t="s">
        <v>16</v>
      </c>
      <c r="E8" s="39" t="str">
        <f>CONCATENATE("Target: ##34#",C8,"##34#")</f>
        <v>Target: ##34#hl7.org/fhir/r4##34#</v>
      </c>
      <c r="G8" s="18" t="s">
        <v>25</v>
      </c>
      <c r="H8" s="13"/>
      <c r="I8" s="13"/>
      <c r="J8" s="13"/>
      <c r="K8" s="13"/>
      <c r="L8" s="13"/>
      <c r="M8" s="13"/>
      <c r="N8" s="13"/>
      <c r="O8" s="13"/>
    </row>
    <row r="9" spans="1:15" ht="29.5" x14ac:dyDescent="0.75">
      <c r="A9" s="19"/>
      <c r="B9" s="19" t="str">
        <f>Payment!B5</f>
        <v>Subject</v>
      </c>
      <c r="C9" s="9" t="s">
        <v>305</v>
      </c>
      <c r="E9" s="5" t="str">
        <f>CONCATENATE("* -&gt; ##34#",C9,"##34#")</f>
        <v>* -&gt; ##34#Patient.conformsTo('http://hl7.eu/fhir/ig/xeh/StructureDefinition/Patient-eu-xeh')##34#</v>
      </c>
      <c r="H9" s="13"/>
      <c r="I9" s="13"/>
      <c r="J9" s="13"/>
      <c r="K9" s="13"/>
      <c r="L9" s="13"/>
      <c r="M9" s="13"/>
      <c r="N9" s="13"/>
      <c r="O9" s="13"/>
    </row>
    <row r="10" spans="1:15" x14ac:dyDescent="0.75">
      <c r="A10" s="19"/>
      <c r="B10" s="19" t="str">
        <f>Payment!B8</f>
        <v>identification</v>
      </c>
      <c r="C10" s="19" t="s">
        <v>18</v>
      </c>
      <c r="E10" s="20" t="str">
        <f>CONCATENATE("* ",B10," -&gt; ##34#",C10,"##34#")</f>
        <v>* identification -&gt; ##34#Patient##34#</v>
      </c>
      <c r="G10" s="18" t="s">
        <v>26</v>
      </c>
      <c r="H10" s="13"/>
      <c r="I10" s="13"/>
      <c r="J10" s="13"/>
      <c r="K10" s="13"/>
      <c r="L10" s="13"/>
      <c r="M10" s="13"/>
      <c r="N10" s="13"/>
      <c r="O10" s="13"/>
    </row>
    <row r="11" spans="1:15" x14ac:dyDescent="0.75">
      <c r="A11" s="19"/>
      <c r="B11" s="19" t="str">
        <f>Payment!B9</f>
        <v>identification.familyName</v>
      </c>
      <c r="C11" s="19" t="s">
        <v>306</v>
      </c>
      <c r="E11" s="20" t="str">
        <f t="shared" ref="E11:E18" si="0">CONCATENATE("* ",B11," -&gt; ##34#",C11,"##34#")</f>
        <v>* identification.familyName -&gt; ##34#Patient.name.family##34#</v>
      </c>
      <c r="G11" s="18" t="s">
        <v>27</v>
      </c>
      <c r="H11" s="13"/>
      <c r="I11" s="13"/>
      <c r="J11" s="13"/>
      <c r="K11" s="13"/>
      <c r="L11" s="13"/>
      <c r="M11" s="13"/>
      <c r="N11" s="13"/>
      <c r="O11" s="13"/>
    </row>
    <row r="12" spans="1:15" ht="44.25" x14ac:dyDescent="0.75">
      <c r="A12" s="19"/>
      <c r="B12" s="19" t="str">
        <f>Payment!B10</f>
        <v>identification.givenName</v>
      </c>
      <c r="C12" s="19" t="s">
        <v>307</v>
      </c>
      <c r="E12" s="20" t="str">
        <f t="shared" si="0"/>
        <v>* identification.givenName -&gt; ##34#Patient.name.given##34#</v>
      </c>
      <c r="G12" s="18" t="s">
        <v>28</v>
      </c>
      <c r="H12" s="13"/>
      <c r="I12" s="13"/>
      <c r="J12" s="13"/>
      <c r="K12" s="13"/>
      <c r="L12" s="13"/>
      <c r="M12" s="13"/>
      <c r="N12" s="13"/>
      <c r="O12" s="13"/>
    </row>
    <row r="13" spans="1:15" x14ac:dyDescent="0.75">
      <c r="A13" s="19"/>
      <c r="B13" s="19" t="str">
        <f>Payment!B11</f>
        <v>identification.dateOfBirth</v>
      </c>
      <c r="C13" s="19" t="s">
        <v>308</v>
      </c>
      <c r="E13" s="20" t="str">
        <f t="shared" si="0"/>
        <v>* identification.dateOfBirth -&gt; ##34#Patient.birthDate##34#</v>
      </c>
      <c r="G13" s="18" t="s">
        <v>29</v>
      </c>
      <c r="H13" s="13"/>
      <c r="I13" s="13"/>
      <c r="J13" s="13"/>
      <c r="K13" s="13"/>
      <c r="L13" s="13"/>
      <c r="M13" s="13"/>
      <c r="N13" s="13"/>
      <c r="O13" s="13"/>
    </row>
    <row r="14" spans="1:15" x14ac:dyDescent="0.75">
      <c r="A14" s="19"/>
      <c r="B14" s="19" t="str">
        <f>Payment!B12</f>
        <v>identification.identifier</v>
      </c>
      <c r="C14" s="19" t="s">
        <v>309</v>
      </c>
      <c r="E14" s="20" t="str">
        <f t="shared" si="0"/>
        <v>* identification.identifier -&gt; ##34#Patient.identifier##34#</v>
      </c>
      <c r="G14" s="18" t="s">
        <v>30</v>
      </c>
      <c r="H14" s="13"/>
      <c r="I14" s="13"/>
      <c r="J14" s="13"/>
      <c r="K14" s="13"/>
      <c r="L14" s="13"/>
      <c r="M14" s="13"/>
      <c r="N14" s="13"/>
      <c r="O14" s="13"/>
    </row>
    <row r="15" spans="1:15" ht="29.5" x14ac:dyDescent="0.75">
      <c r="A15" s="19"/>
      <c r="B15" s="19" t="str">
        <f>Payment!B13</f>
        <v>identification.gender</v>
      </c>
      <c r="C15" s="19" t="s">
        <v>310</v>
      </c>
      <c r="E15" s="20" t="str">
        <f t="shared" si="0"/>
        <v>* identification.gender -&gt; ##34#Patient.gender##34#</v>
      </c>
      <c r="G15" s="18" t="s">
        <v>31</v>
      </c>
      <c r="H15" s="13"/>
      <c r="I15" s="13"/>
      <c r="J15" s="13"/>
      <c r="K15" s="13"/>
      <c r="L15" s="13"/>
      <c r="M15" s="13"/>
      <c r="N15" s="13"/>
      <c r="O15" s="13"/>
    </row>
    <row r="16" spans="1:15" ht="29.5" x14ac:dyDescent="0.75">
      <c r="A16" s="19"/>
      <c r="B16" s="19" t="str">
        <f>Payment!B14</f>
        <v>address-telecom</v>
      </c>
      <c r="C16" s="19" t="s">
        <v>312</v>
      </c>
      <c r="E16" s="20" t="str">
        <f t="shared" si="0"/>
        <v>* address-telecom -&gt; ##34#Patient.address##34#</v>
      </c>
      <c r="G16" s="18" t="s">
        <v>32</v>
      </c>
      <c r="H16" s="13"/>
      <c r="I16" s="13"/>
      <c r="J16" s="13"/>
      <c r="K16" s="13"/>
      <c r="L16" s="13"/>
      <c r="M16" s="13"/>
      <c r="N16" s="13"/>
      <c r="O16" s="13"/>
    </row>
    <row r="17" spans="1:7" ht="29.5" x14ac:dyDescent="0.75">
      <c r="A17" s="19"/>
      <c r="B17" s="19" t="str">
        <f>Payment!B15</f>
        <v>address-telecom.address</v>
      </c>
      <c r="C17" s="19" t="s">
        <v>310</v>
      </c>
      <c r="E17" s="20" t="str">
        <f t="shared" si="0"/>
        <v>* address-telecom.address -&gt; ##34#Patient.gender##34#</v>
      </c>
      <c r="G17" s="18" t="s">
        <v>33</v>
      </c>
    </row>
    <row r="18" spans="1:7" x14ac:dyDescent="0.75">
      <c r="A18" s="19"/>
      <c r="B18" s="19" t="str">
        <f>Payment!B16</f>
        <v>address-telecom.telecom</v>
      </c>
      <c r="C18" s="19" t="s">
        <v>311</v>
      </c>
      <c r="E18" s="20" t="str">
        <f t="shared" si="0"/>
        <v>* address-telecom.telecom -&gt; ##34#Patient.telecom##34#</v>
      </c>
      <c r="G18" s="18" t="s">
        <v>34</v>
      </c>
    </row>
    <row r="19" spans="1:7" x14ac:dyDescent="0.75">
      <c r="A19" s="19"/>
      <c r="B19" s="19"/>
      <c r="C19" s="19"/>
      <c r="E19" s="20"/>
    </row>
    <row r="20" spans="1:7" x14ac:dyDescent="0.75">
      <c r="A20" s="19"/>
      <c r="B20" s="19"/>
      <c r="C20" s="20"/>
      <c r="E20" s="20"/>
    </row>
    <row r="21" spans="1:7" x14ac:dyDescent="0.75">
      <c r="B21" s="19"/>
    </row>
    <row r="22" spans="1:7" x14ac:dyDescent="0.75">
      <c r="B22" s="19"/>
    </row>
    <row r="24" spans="1:7" x14ac:dyDescent="0.75">
      <c r="E24" s="3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206"/>
  <sheetViews>
    <sheetView workbookViewId="0">
      <selection activeCell="C40" sqref="C40"/>
    </sheetView>
  </sheetViews>
  <sheetFormatPr defaultRowHeight="14.75" x14ac:dyDescent="0.75"/>
  <cols>
    <col min="1" max="2" width="8.7265625" style="17"/>
    <col min="3" max="3" width="108.2265625" style="20" customWidth="1"/>
    <col min="4" max="16384" width="8.7265625" style="17"/>
  </cols>
  <sheetData>
    <row r="1" spans="3:5" x14ac:dyDescent="0.75">
      <c r="C1" s="41" t="str">
        <f>Payment!I1</f>
        <v>// -------------------------------------------------------------------------------</v>
      </c>
    </row>
    <row r="2" spans="3:5" x14ac:dyDescent="0.75">
      <c r="C2" s="42" t="str">
        <f>Payment!I2</f>
        <v>//  Logical Model</v>
      </c>
    </row>
    <row r="3" spans="3:5" x14ac:dyDescent="0.75">
      <c r="C3" s="42" t="str">
        <f>Payment!I3</f>
        <v>// -------------------------------------------------------------------------------</v>
      </c>
    </row>
    <row r="4" spans="3:5" x14ac:dyDescent="0.75">
      <c r="C4" s="34" t="str">
        <f>Payment!I4</f>
        <v>Logical: SubjectLabEhn</v>
      </c>
    </row>
    <row r="5" spans="3:5" x14ac:dyDescent="0.75">
      <c r="C5" s="34" t="str">
        <f>Payment!I5</f>
        <v>Id: Subject</v>
      </c>
    </row>
    <row r="6" spans="3:5" x14ac:dyDescent="0.75">
      <c r="C6" s="34" t="str">
        <f>Payment!I6</f>
        <v>Title: ##34#Subject of care##34#</v>
      </c>
    </row>
    <row r="7" spans="3:5" ht="29.5" x14ac:dyDescent="0.75">
      <c r="C7" s="34" t="str">
        <f>Payment!I7</f>
        <v>Description:  ##334#Patient or Subject of care##334#</v>
      </c>
    </row>
    <row r="8" spans="3:5" ht="29.5" x14ac:dyDescent="0.75">
      <c r="C8" s="20" t="str">
        <f>IF(Payment!I8="","//--- END",Payment!I8)</f>
        <v>* identification 1..1 BackboneElement ##34#A.1.1 Identification of the patient/subject##34# ##334#A.1.1 Identification of the patient/subject##334#</v>
      </c>
    </row>
    <row r="9" spans="3:5" ht="29.5" x14ac:dyDescent="0.75">
      <c r="C9" s="20" t="str">
        <f>IF(Payment!I9="","//--- END",Payment!I9)</f>
        <v>* identification.familyName 0..* string ##34#A.1.1.1 Familyname/surname##34# ##334#The family name/surname/last name of the patient. This field can contain more than one element or multiple fields could be present.##334#</v>
      </c>
    </row>
    <row r="10" spans="3:5" ht="29.5" x14ac:dyDescent="0.75">
      <c r="C10" s="20" t="str">
        <f>IF(Payment!I10="","//--- END",Payment!I10)</f>
        <v>* identification.givenName 0..* string ##34#A.1.1.2 Given name ##34# ##334#The given name/first name of the patient (also known as forename or first name). This field can contain more than one element. ##334#</v>
      </c>
      <c r="E10" s="17" t="s">
        <v>316</v>
      </c>
    </row>
    <row r="11" spans="3:5" ht="44.25" x14ac:dyDescent="0.75">
      <c r="C11" s="20" t="str">
        <f>IF(Payment!I11="","//--- END",Payment!I11)</f>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5" ht="29.5" x14ac:dyDescent="0.75">
      <c r="C12" s="20" t="str">
        <f>IF(Payment!I12="","//--- END",Payment!I12)</f>
        <v>* identification.identifier 0..1 Identifier ##34#A.1.1.4 Personal identifier ##34# ##334#An identifier of the patient that is unique within a defined scope. Example: National ID (birth number) for Czech patient. Multiple identifiers could be provided. ##334#</v>
      </c>
    </row>
    <row r="13" spans="3:5" ht="59" x14ac:dyDescent="0.75">
      <c r="C13" s="20" t="str">
        <f>IF(Payment!I13="","//--- END",Payment!I13)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5" ht="29.5" x14ac:dyDescent="0.75">
      <c r="C14" s="20" t="str">
        <f>IF(Payment!I14="","//--- END",Payment!I14)</f>
        <v>* address-telecom 0..* BackboneElement ##34#A.1.2 Patient/subject related contact information   ##34# ##334#A.1.2 Patient/subject related contact information   ##334#</v>
      </c>
    </row>
    <row r="15" spans="3:5" ht="59" x14ac:dyDescent="0.75">
      <c r="C15" s="20" t="str">
        <f>IF(Payment!I15="","//--- END",Payment!I15)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5" ht="29.5" x14ac:dyDescent="0.75">
      <c r="C16" s="20" t="str">
        <f>IF(Payment!I16="","//--- END",Payment!I16)</f>
        <v>* address-telecom.telecom 0..* ContactPoint ##34#A.1.2.2 Telecom##34# ##334#Telecommunication contact information (addresses) associated to a person. Multiple telecommunication addresses might be provided. - Preferred system(s): ##334#</v>
      </c>
    </row>
    <row r="17" spans="3:3" ht="29.5" x14ac:dyDescent="0.75">
      <c r="C17" s="20" t="str">
        <f>IF(Payment!I17="","//--- END",Payment!I17)</f>
        <v>//--- END</v>
      </c>
    </row>
    <row r="30" spans="3:3" x14ac:dyDescent="0.75">
      <c r="C30" s="41" t="str">
        <f>'Payment-Map-1'!E1</f>
        <v>// -------------------------------------------------------------------------------</v>
      </c>
    </row>
    <row r="31" spans="3:3" x14ac:dyDescent="0.75">
      <c r="C31" s="42" t="str">
        <f>'Payment-Map-1'!E2</f>
        <v>//  Map to FHIR R4</v>
      </c>
    </row>
    <row r="32" spans="3:3" x14ac:dyDescent="0.75">
      <c r="C32" s="42" t="str">
        <f>'Payment-Map-1'!E3</f>
        <v>// -------------------------------------------------------------------------------</v>
      </c>
    </row>
    <row r="33" spans="3:7" x14ac:dyDescent="0.75">
      <c r="C33" s="20" t="str">
        <f>'Payment-Map-1'!E4</f>
        <v>Mapping: eHNLabSubject2Fhir</v>
      </c>
    </row>
    <row r="34" spans="3:7" x14ac:dyDescent="0.75">
      <c r="C34" s="20" t="str">
        <f>'Payment-Map-1'!E5</f>
        <v>Id: fhir</v>
      </c>
    </row>
    <row r="35" spans="3:7" x14ac:dyDescent="0.75">
      <c r="C35" s="20" t="str">
        <f>'Payment-Map-1'!E6</f>
        <v>Title: ##34#Idea4RC Subject model to FHIR R4 Map##34#</v>
      </c>
    </row>
    <row r="36" spans="3:7" x14ac:dyDescent="0.75">
      <c r="C36" s="20" t="str">
        <f>'Payment-Map-1'!E7</f>
        <v>Source: Subject</v>
      </c>
    </row>
    <row r="37" spans="3:7" x14ac:dyDescent="0.75">
      <c r="C37" s="20" t="str">
        <f>'Payment-Map-1'!E8</f>
        <v>Target: ##34#hl7.org/fhir/r4##34#</v>
      </c>
    </row>
    <row r="39" spans="3:7" x14ac:dyDescent="0.75">
      <c r="C39" s="20" t="str">
        <f>'Payment-Map-1'!E9</f>
        <v>* -&gt; ##34#Patient.conformsTo('http://hl7.eu/fhir/ig/xeh/StructureDefinition/Patient-eu-xeh')##34#</v>
      </c>
    </row>
    <row r="40" spans="3:7" x14ac:dyDescent="0.75">
      <c r="C40" s="20" t="str">
        <f>IF('Payment-Map-1'!E10="","// --END",'Payment-Map-1'!E10)</f>
        <v>* identification -&gt; ##34#Patient##34#</v>
      </c>
    </row>
    <row r="41" spans="3:7" x14ac:dyDescent="0.75">
      <c r="C41" s="20" t="str">
        <f>IF('Payment-Map-1'!E11="","// --END",'Payment-Map-1'!E11)</f>
        <v>* identification.familyName -&gt; ##34#Patient.name.family##34#</v>
      </c>
    </row>
    <row r="42" spans="3:7" x14ac:dyDescent="0.75">
      <c r="C42" s="20" t="str">
        <f>IF('Payment-Map-1'!E12="","// --END",'Payment-Map-1'!E12)</f>
        <v>* identification.givenName -&gt; ##34#Patient.name.given##34#</v>
      </c>
    </row>
    <row r="43" spans="3:7" x14ac:dyDescent="0.75">
      <c r="C43" s="20" t="str">
        <f>IF('Payment-Map-1'!E13="","// --END",'Payment-Map-1'!E13)</f>
        <v>* identification.dateOfBirth -&gt; ##34#Patient.birthDate##34#</v>
      </c>
    </row>
    <row r="44" spans="3:7" x14ac:dyDescent="0.75">
      <c r="C44" s="20" t="str">
        <f>IF('Payment-Map-1'!E14="","// --END",'Payment-Map-1'!E14)</f>
        <v>* identification.identifier -&gt; ##34#Patient.identifier##34#</v>
      </c>
    </row>
    <row r="45" spans="3:7" x14ac:dyDescent="0.75">
      <c r="C45" s="20" t="str">
        <f>IF('Payment-Map-1'!E15="","// --END",'Payment-Map-1'!E15)</f>
        <v>* identification.gender -&gt; ##34#Patient.gender##34#</v>
      </c>
    </row>
    <row r="46" spans="3:7" x14ac:dyDescent="0.75">
      <c r="C46" s="20" t="str">
        <f>IF('Payment-Map-1'!E16="","// --END",'Payment-Map-1'!E16)</f>
        <v>* address-telecom -&gt; ##34#Patient.address##34#</v>
      </c>
    </row>
    <row r="47" spans="3:7" x14ac:dyDescent="0.75">
      <c r="C47" s="20" t="str">
        <f>IF('Payment-Map-1'!E17="","// --END",'Payment-Map-1'!E17)</f>
        <v>* address-telecom.address -&gt; ##34#Patient.gender##34#</v>
      </c>
    </row>
    <row r="48" spans="3:7" x14ac:dyDescent="0.75">
      <c r="C48" s="20" t="str">
        <f>IF('Payment-Map-1'!E18="","// --END",'Payment-Map-1'!E18)</f>
        <v>* address-telecom.telecom -&gt; ##34#Patient.telecom##34#</v>
      </c>
      <c r="G48" s="13"/>
    </row>
    <row r="49" spans="3:3" x14ac:dyDescent="0.75">
      <c r="C49" s="20" t="str">
        <f>IF('Payment-Map-1'!E19="","// --END",'Payment-Map-1'!E19)</f>
        <v>// --END</v>
      </c>
    </row>
    <row r="112" spans="3:3" x14ac:dyDescent="0.75">
      <c r="C112" s="20" t="e">
        <f>#REF!</f>
        <v>#REF!</v>
      </c>
    </row>
    <row r="113" spans="3:3" x14ac:dyDescent="0.75">
      <c r="C113" s="20" t="e">
        <f>#REF!</f>
        <v>#REF!</v>
      </c>
    </row>
    <row r="114" spans="3:3" x14ac:dyDescent="0.75">
      <c r="C114" s="20" t="e">
        <f>#REF!</f>
        <v>#REF!</v>
      </c>
    </row>
    <row r="115" spans="3:3" x14ac:dyDescent="0.75">
      <c r="C115" s="20" t="e">
        <f>#REF!</f>
        <v>#REF!</v>
      </c>
    </row>
    <row r="116" spans="3:3" x14ac:dyDescent="0.75">
      <c r="C116" s="20" t="e">
        <f>#REF!</f>
        <v>#REF!</v>
      </c>
    </row>
    <row r="117" spans="3:3" x14ac:dyDescent="0.75">
      <c r="C117" s="20" t="e">
        <f>#REF!</f>
        <v>#REF!</v>
      </c>
    </row>
    <row r="118" spans="3:3" x14ac:dyDescent="0.75">
      <c r="C118" s="20" t="e">
        <f>#REF!</f>
        <v>#REF!</v>
      </c>
    </row>
    <row r="119" spans="3:3" x14ac:dyDescent="0.75">
      <c r="C119" s="20" t="e">
        <f>#REF!</f>
        <v>#REF!</v>
      </c>
    </row>
    <row r="120" spans="3:3" x14ac:dyDescent="0.75">
      <c r="C120" s="20" t="e">
        <f>#REF!</f>
        <v>#REF!</v>
      </c>
    </row>
    <row r="121" spans="3:3" x14ac:dyDescent="0.75">
      <c r="C121" s="20" t="e">
        <f>#REF!</f>
        <v>#REF!</v>
      </c>
    </row>
    <row r="122" spans="3:3" x14ac:dyDescent="0.75">
      <c r="C122" s="20" t="e">
        <f>#REF!</f>
        <v>#REF!</v>
      </c>
    </row>
    <row r="123" spans="3:3" x14ac:dyDescent="0.75">
      <c r="C123" s="20" t="e">
        <f>#REF!</f>
        <v>#REF!</v>
      </c>
    </row>
    <row r="124" spans="3:3" x14ac:dyDescent="0.75">
      <c r="C124" s="20" t="e">
        <f>#REF!</f>
        <v>#REF!</v>
      </c>
    </row>
    <row r="125" spans="3:3" x14ac:dyDescent="0.75">
      <c r="C125" s="20" t="e">
        <f>#REF!</f>
        <v>#REF!</v>
      </c>
    </row>
    <row r="126" spans="3:3" x14ac:dyDescent="0.75">
      <c r="C126" s="20" t="e">
        <f>#REF!</f>
        <v>#REF!</v>
      </c>
    </row>
    <row r="127" spans="3:3" x14ac:dyDescent="0.75">
      <c r="C127" s="20" t="e">
        <f>#REF!</f>
        <v>#REF!</v>
      </c>
    </row>
    <row r="128" spans="3:3" x14ac:dyDescent="0.75">
      <c r="C128" s="20" t="e">
        <f>#REF!</f>
        <v>#REF!</v>
      </c>
    </row>
    <row r="129" spans="3:3" x14ac:dyDescent="0.75">
      <c r="C129" s="20" t="e">
        <f>#REF!</f>
        <v>#REF!</v>
      </c>
    </row>
    <row r="130" spans="3:3" x14ac:dyDescent="0.75">
      <c r="C130" s="20" t="e">
        <f>#REF!</f>
        <v>#REF!</v>
      </c>
    </row>
    <row r="131" spans="3:3" x14ac:dyDescent="0.75">
      <c r="C131" s="20" t="e">
        <f>#REF!</f>
        <v>#REF!</v>
      </c>
    </row>
    <row r="132" spans="3:3" x14ac:dyDescent="0.75">
      <c r="C132" s="20" t="e">
        <f>#REF!</f>
        <v>#REF!</v>
      </c>
    </row>
    <row r="133" spans="3:3" x14ac:dyDescent="0.75">
      <c r="C133" s="20" t="e">
        <f>#REF!</f>
        <v>#REF!</v>
      </c>
    </row>
    <row r="134" spans="3:3" x14ac:dyDescent="0.75">
      <c r="C134" s="20" t="e">
        <f>#REF!</f>
        <v>#REF!</v>
      </c>
    </row>
    <row r="135" spans="3:3" x14ac:dyDescent="0.75">
      <c r="C135" s="20" t="e">
        <f>#REF!</f>
        <v>#REF!</v>
      </c>
    </row>
    <row r="136" spans="3:3" x14ac:dyDescent="0.75">
      <c r="C136" s="20" t="e">
        <f>#REF!</f>
        <v>#REF!</v>
      </c>
    </row>
    <row r="137" spans="3:3" x14ac:dyDescent="0.75">
      <c r="C137" s="20" t="e">
        <f>#REF!</f>
        <v>#REF!</v>
      </c>
    </row>
    <row r="138" spans="3:3" x14ac:dyDescent="0.75">
      <c r="C138" s="20" t="e">
        <f>#REF!</f>
        <v>#REF!</v>
      </c>
    </row>
    <row r="139" spans="3:3" x14ac:dyDescent="0.75">
      <c r="C139" s="20" t="e">
        <f>#REF!</f>
        <v>#REF!</v>
      </c>
    </row>
    <row r="140" spans="3:3" x14ac:dyDescent="0.75">
      <c r="C140" s="20" t="e">
        <f>#REF!</f>
        <v>#REF!</v>
      </c>
    </row>
    <row r="141" spans="3:3" x14ac:dyDescent="0.75">
      <c r="C141" s="20" t="e">
        <f>#REF!</f>
        <v>#REF!</v>
      </c>
    </row>
    <row r="142" spans="3:3" x14ac:dyDescent="0.75">
      <c r="C142" s="20" t="e">
        <f>#REF!</f>
        <v>#REF!</v>
      </c>
    </row>
    <row r="143" spans="3:3" x14ac:dyDescent="0.75">
      <c r="C143" s="20" t="e">
        <f>#REF!</f>
        <v>#REF!</v>
      </c>
    </row>
    <row r="144" spans="3:3" x14ac:dyDescent="0.75">
      <c r="C144" s="20" t="e">
        <f>#REF!</f>
        <v>#REF!</v>
      </c>
    </row>
    <row r="145" spans="3:3" x14ac:dyDescent="0.75">
      <c r="C145" s="20" t="e">
        <f>#REF!</f>
        <v>#REF!</v>
      </c>
    </row>
    <row r="146" spans="3:3" x14ac:dyDescent="0.75">
      <c r="C146" s="20" t="e">
        <f>#REF!</f>
        <v>#REF!</v>
      </c>
    </row>
    <row r="147" spans="3:3" x14ac:dyDescent="0.75">
      <c r="C147" s="20" t="e">
        <f>#REF!</f>
        <v>#REF!</v>
      </c>
    </row>
    <row r="148" spans="3:3" x14ac:dyDescent="0.75">
      <c r="C148" s="20" t="e">
        <f>#REF!</f>
        <v>#REF!</v>
      </c>
    </row>
    <row r="149" spans="3:3" x14ac:dyDescent="0.75">
      <c r="C149" s="20" t="e">
        <f>#REF!</f>
        <v>#REF!</v>
      </c>
    </row>
    <row r="150" spans="3:3" x14ac:dyDescent="0.75">
      <c r="C150" s="20" t="e">
        <f>#REF!</f>
        <v>#REF!</v>
      </c>
    </row>
    <row r="151" spans="3:3" x14ac:dyDescent="0.75">
      <c r="C151" s="20" t="e">
        <f>#REF!</f>
        <v>#REF!</v>
      </c>
    </row>
    <row r="152" spans="3:3" x14ac:dyDescent="0.75">
      <c r="C152" s="20" t="e">
        <f>#REF!</f>
        <v>#REF!</v>
      </c>
    </row>
    <row r="153" spans="3:3" x14ac:dyDescent="0.75">
      <c r="C153" s="20" t="e">
        <f>#REF!</f>
        <v>#REF!</v>
      </c>
    </row>
    <row r="154" spans="3:3" x14ac:dyDescent="0.75">
      <c r="C154" s="20" t="e">
        <f>#REF!</f>
        <v>#REF!</v>
      </c>
    </row>
    <row r="155" spans="3:3" x14ac:dyDescent="0.75">
      <c r="C155" s="20" t="e">
        <f>#REF!</f>
        <v>#REF!</v>
      </c>
    </row>
    <row r="156" spans="3:3" x14ac:dyDescent="0.75">
      <c r="C156" s="20" t="e">
        <f>#REF!</f>
        <v>#REF!</v>
      </c>
    </row>
    <row r="157" spans="3:3" x14ac:dyDescent="0.75">
      <c r="C157" s="20" t="e">
        <f>#REF!</f>
        <v>#REF!</v>
      </c>
    </row>
    <row r="158" spans="3:3" x14ac:dyDescent="0.75">
      <c r="C158" s="20" t="e">
        <f>#REF!</f>
        <v>#REF!</v>
      </c>
    </row>
    <row r="159" spans="3:3" x14ac:dyDescent="0.75">
      <c r="C159" s="20" t="e">
        <f>#REF!</f>
        <v>#REF!</v>
      </c>
    </row>
    <row r="160" spans="3:3" x14ac:dyDescent="0.75">
      <c r="C160" s="20" t="e">
        <f>#REF!</f>
        <v>#REF!</v>
      </c>
    </row>
    <row r="161" spans="3:3" x14ac:dyDescent="0.75">
      <c r="C161" s="20" t="e">
        <f>#REF!</f>
        <v>#REF!</v>
      </c>
    </row>
    <row r="162" spans="3:3" x14ac:dyDescent="0.75">
      <c r="C162" s="20" t="e">
        <f>#REF!</f>
        <v>#REF!</v>
      </c>
    </row>
    <row r="163" spans="3:3" x14ac:dyDescent="0.75">
      <c r="C163" s="20" t="e">
        <f>#REF!</f>
        <v>#REF!</v>
      </c>
    </row>
    <row r="164" spans="3:3" x14ac:dyDescent="0.75">
      <c r="C164" s="20" t="e">
        <f>#REF!</f>
        <v>#REF!</v>
      </c>
    </row>
    <row r="165" spans="3:3" x14ac:dyDescent="0.75">
      <c r="C165" s="20" t="e">
        <f>#REF!</f>
        <v>#REF!</v>
      </c>
    </row>
    <row r="166" spans="3:3" x14ac:dyDescent="0.75">
      <c r="C166" s="20" t="e">
        <f>#REF!</f>
        <v>#REF!</v>
      </c>
    </row>
    <row r="167" spans="3:3" x14ac:dyDescent="0.75">
      <c r="C167" s="20" t="e">
        <f>#REF!</f>
        <v>#REF!</v>
      </c>
    </row>
    <row r="168" spans="3:3" x14ac:dyDescent="0.75">
      <c r="C168" s="20" t="e">
        <f>#REF!</f>
        <v>#REF!</v>
      </c>
    </row>
    <row r="169" spans="3:3" x14ac:dyDescent="0.75">
      <c r="C169" s="20" t="e">
        <f>#REF!</f>
        <v>#REF!</v>
      </c>
    </row>
    <row r="170" spans="3:3" x14ac:dyDescent="0.75">
      <c r="C170" s="20" t="e">
        <f>#REF!</f>
        <v>#REF!</v>
      </c>
    </row>
    <row r="171" spans="3:3" x14ac:dyDescent="0.75">
      <c r="C171" s="20" t="e">
        <f>#REF!</f>
        <v>#REF!</v>
      </c>
    </row>
    <row r="172" spans="3:3" x14ac:dyDescent="0.75">
      <c r="C172" s="20" t="e">
        <f>#REF!</f>
        <v>#REF!</v>
      </c>
    </row>
    <row r="173" spans="3:3" x14ac:dyDescent="0.75">
      <c r="C173" s="20" t="e">
        <f>#REF!</f>
        <v>#REF!</v>
      </c>
    </row>
    <row r="174" spans="3:3" x14ac:dyDescent="0.75">
      <c r="C174" s="20" t="e">
        <f>#REF!</f>
        <v>#REF!</v>
      </c>
    </row>
    <row r="175" spans="3:3" x14ac:dyDescent="0.75">
      <c r="C175" s="20" t="e">
        <f>#REF!</f>
        <v>#REF!</v>
      </c>
    </row>
    <row r="176" spans="3:3" x14ac:dyDescent="0.75">
      <c r="C176" s="20" t="e">
        <f>#REF!</f>
        <v>#REF!</v>
      </c>
    </row>
    <row r="177" spans="3:3" x14ac:dyDescent="0.75">
      <c r="C177" s="20" t="e">
        <f>#REF!</f>
        <v>#REF!</v>
      </c>
    </row>
    <row r="178" spans="3:3" x14ac:dyDescent="0.75">
      <c r="C178" s="20" t="e">
        <f>#REF!</f>
        <v>#REF!</v>
      </c>
    </row>
    <row r="179" spans="3:3" x14ac:dyDescent="0.75">
      <c r="C179" s="20" t="e">
        <f>#REF!</f>
        <v>#REF!</v>
      </c>
    </row>
    <row r="180" spans="3:3" x14ac:dyDescent="0.75">
      <c r="C180" s="20" t="e">
        <f>#REF!</f>
        <v>#REF!</v>
      </c>
    </row>
    <row r="181" spans="3:3" x14ac:dyDescent="0.75">
      <c r="C181" s="20" t="e">
        <f>#REF!</f>
        <v>#REF!</v>
      </c>
    </row>
    <row r="182" spans="3:3" x14ac:dyDescent="0.75">
      <c r="C182" s="20" t="e">
        <f>#REF!</f>
        <v>#REF!</v>
      </c>
    </row>
    <row r="183" spans="3:3" x14ac:dyDescent="0.75">
      <c r="C183" s="20" t="e">
        <f>#REF!</f>
        <v>#REF!</v>
      </c>
    </row>
    <row r="184" spans="3:3" x14ac:dyDescent="0.75">
      <c r="C184" s="20" t="e">
        <f>#REF!</f>
        <v>#REF!</v>
      </c>
    </row>
    <row r="185" spans="3:3" x14ac:dyDescent="0.75">
      <c r="C185" s="20" t="e">
        <f>#REF!</f>
        <v>#REF!</v>
      </c>
    </row>
    <row r="186" spans="3:3" x14ac:dyDescent="0.75">
      <c r="C186" s="20" t="e">
        <f>#REF!</f>
        <v>#REF!</v>
      </c>
    </row>
    <row r="187" spans="3:3" x14ac:dyDescent="0.75">
      <c r="C187" s="20" t="e">
        <f>#REF!</f>
        <v>#REF!</v>
      </c>
    </row>
    <row r="188" spans="3:3" x14ac:dyDescent="0.75">
      <c r="C188" s="20" t="e">
        <f>#REF!</f>
        <v>#REF!</v>
      </c>
    </row>
    <row r="189" spans="3:3" x14ac:dyDescent="0.75">
      <c r="C189" s="20" t="e">
        <f>#REF!</f>
        <v>#REF!</v>
      </c>
    </row>
    <row r="190" spans="3:3" x14ac:dyDescent="0.75">
      <c r="C190" s="20" t="e">
        <f>#REF!</f>
        <v>#REF!</v>
      </c>
    </row>
    <row r="191" spans="3:3" x14ac:dyDescent="0.75">
      <c r="C191" s="20" t="e">
        <f>#REF!</f>
        <v>#REF!</v>
      </c>
    </row>
    <row r="192" spans="3:3" x14ac:dyDescent="0.75">
      <c r="C192" s="20" t="e">
        <f>#REF!</f>
        <v>#REF!</v>
      </c>
    </row>
    <row r="193" spans="3:3" x14ac:dyDescent="0.75">
      <c r="C193" s="20" t="e">
        <f>#REF!</f>
        <v>#REF!</v>
      </c>
    </row>
    <row r="194" spans="3:3" x14ac:dyDescent="0.75">
      <c r="C194" s="20" t="e">
        <f>#REF!</f>
        <v>#REF!</v>
      </c>
    </row>
    <row r="195" spans="3:3" x14ac:dyDescent="0.75">
      <c r="C195" s="20" t="e">
        <f>#REF!</f>
        <v>#REF!</v>
      </c>
    </row>
    <row r="196" spans="3:3" x14ac:dyDescent="0.75">
      <c r="C196" s="20" t="e">
        <f>#REF!</f>
        <v>#REF!</v>
      </c>
    </row>
    <row r="197" spans="3:3" x14ac:dyDescent="0.75">
      <c r="C197" s="20" t="e">
        <f>#REF!</f>
        <v>#REF!</v>
      </c>
    </row>
    <row r="198" spans="3:3" x14ac:dyDescent="0.75">
      <c r="C198" s="20" t="e">
        <f>#REF!</f>
        <v>#REF!</v>
      </c>
    </row>
    <row r="199" spans="3:3" x14ac:dyDescent="0.75">
      <c r="C199" s="20" t="e">
        <f>#REF!</f>
        <v>#REF!</v>
      </c>
    </row>
    <row r="200" spans="3:3" x14ac:dyDescent="0.75">
      <c r="C200" s="20" t="e">
        <f>#REF!</f>
        <v>#REF!</v>
      </c>
    </row>
    <row r="201" spans="3:3" x14ac:dyDescent="0.75">
      <c r="C201" s="20" t="e">
        <f>#REF!</f>
        <v>#REF!</v>
      </c>
    </row>
    <row r="202" spans="3:3" x14ac:dyDescent="0.75">
      <c r="C202" s="20" t="e">
        <f>#REF!</f>
        <v>#REF!</v>
      </c>
    </row>
    <row r="203" spans="3:3" x14ac:dyDescent="0.75">
      <c r="C203" s="20" t="e">
        <f>#REF!</f>
        <v>#REF!</v>
      </c>
    </row>
    <row r="204" spans="3:3" x14ac:dyDescent="0.75">
      <c r="C204" s="20" t="e">
        <f>#REF!</f>
        <v>#REF!</v>
      </c>
    </row>
    <row r="205" spans="3:3" x14ac:dyDescent="0.75">
      <c r="C205" s="20" t="e">
        <f>#REF!</f>
        <v>#REF!</v>
      </c>
    </row>
    <row r="206" spans="3:3" x14ac:dyDescent="0.75">
      <c r="C206" s="20" t="e">
        <f>#REF!</f>
        <v>#REF!</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salvaSubject">
                <anchor moveWithCells="1">
                  <from>
                    <xdr:col>4</xdr:col>
                    <xdr:colOff>190500</xdr:colOff>
                    <xdr:row>0</xdr:row>
                    <xdr:rowOff>101600</xdr:rowOff>
                  </from>
                  <to>
                    <xdr:col>5</xdr:col>
                    <xdr:colOff>254000</xdr:colOff>
                    <xdr:row>2</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11</vt:i4>
      </vt:variant>
    </vt:vector>
  </HeadingPairs>
  <TitlesOfParts>
    <vt:vector size="11" baseType="lpstr">
      <vt:lpstr>Header</vt:lpstr>
      <vt:lpstr>Body</vt:lpstr>
      <vt:lpstr>Report</vt:lpstr>
      <vt:lpstr>Report-Map-1</vt:lpstr>
      <vt:lpstr>Report-fsh</vt:lpstr>
      <vt:lpstr>Subj</vt:lpstr>
      <vt:lpstr>Subj-Map-1</vt:lpstr>
      <vt:lpstr>Subj-fsh</vt:lpstr>
      <vt:lpstr>Payment</vt:lpstr>
      <vt:lpstr>Payment-Map-1</vt:lpstr>
      <vt:lpstr>Payment-fsh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2022-11-17T11:44:00Z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