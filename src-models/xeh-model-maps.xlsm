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xeh-onlyLab\src-models\"/>
    </mc:Choice>
  </mc:AlternateContent>
  <xr:revisionPtr revIDLastSave="0" documentId="13_ncr:1_{7E352A46-678A-4935-ACD8-74EC0B9D3BB4}" xr6:coauthVersionLast="47" xr6:coauthVersionMax="47" xr10:uidLastSave="{00000000-0000-0000-0000-000000000000}"/>
  <bookViews>
    <workbookView xWindow="-90" yWindow="-21710" windowWidth="38620" windowHeight="21100" tabRatio="819" activeTab="5" xr2:uid="{82F0A5E9-86C8-45A2-AB20-6CF6AA2FD42B}"/>
  </bookViews>
  <sheets>
    <sheet name="Header" sheetId="106" r:id="rId1"/>
    <sheet name="Body" sheetId="107" r:id="rId2"/>
    <sheet name="Common" sheetId="114" r:id="rId3"/>
    <sheet name="Report" sheetId="108" r:id="rId4"/>
    <sheet name="Report-Map-1" sheetId="109" r:id="rId5"/>
    <sheet name="Report-fsh" sheetId="110" r:id="rId6"/>
    <sheet name="Subj" sheetId="12" r:id="rId7"/>
    <sheet name="Subj-Map-1" sheetId="33" r:id="rId8"/>
    <sheet name="Subj-fsh" sheetId="73" r:id="rId9"/>
    <sheet name="A1.3 Payer" sheetId="111" r:id="rId10"/>
    <sheet name="Payer-Map-1" sheetId="112" r:id="rId11"/>
    <sheet name="Payer-fsh" sheetId="113" r:id="rId12"/>
    <sheet name="A1.4 Recipient" sheetId="115" r:id="rId13"/>
    <sheet name="Recipient-Map-1" sheetId="116" r:id="rId14"/>
    <sheet name="Recipient-fsh" sheetId="117" r:id="rId15"/>
    <sheet name="A1.5 Author" sheetId="124" r:id="rId16"/>
    <sheet name="Author-Map-1" sheetId="125" r:id="rId17"/>
    <sheet name="Author-fsh" sheetId="126" r:id="rId18"/>
    <sheet name="A1.6 LegalAuth" sheetId="121" r:id="rId19"/>
    <sheet name="LegalAuth-Map-1" sheetId="122" r:id="rId20"/>
    <sheet name="LegalAuth-fsh" sheetId="123" r:id="rId21"/>
    <sheet name="A1.7 Validator" sheetId="118" r:id="rId22"/>
    <sheet name="Validator-Map-1" sheetId="119" r:id="rId23"/>
    <sheet name="Validator-fsh" sheetId="120" r:id="rId24"/>
    <sheet name="Order" sheetId="128" r:id="rId25"/>
    <sheet name="Order-Map-1" sheetId="129" r:id="rId26"/>
    <sheet name="Order-fsh" sheetId="130" r:id="rId27"/>
    <sheet name="Specimen" sheetId="131" r:id="rId28"/>
    <sheet name="Specimen-Map-1" sheetId="132" r:id="rId29"/>
    <sheet name="Specimen-fsh" sheetId="133" r:id="rId30"/>
    <sheet name="Results" sheetId="134" r:id="rId31"/>
    <sheet name="Results-Map-1" sheetId="135" r:id="rId32"/>
    <sheet name="Results-fsh" sheetId="136" r:id="rId3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6" i="109" l="1"/>
  <c r="C41" i="110"/>
  <c r="C42" i="110"/>
  <c r="C43" i="110"/>
  <c r="C44" i="110"/>
  <c r="C45" i="110"/>
  <c r="C46" i="110"/>
  <c r="C47" i="110"/>
  <c r="C48" i="110"/>
  <c r="C49" i="110"/>
  <c r="C50" i="110"/>
  <c r="C51" i="110"/>
  <c r="C52" i="110"/>
  <c r="C53" i="110"/>
  <c r="C54" i="110"/>
  <c r="C55" i="110"/>
  <c r="C57" i="110"/>
  <c r="C58" i="110"/>
  <c r="C59" i="110"/>
  <c r="C60" i="110"/>
  <c r="C61" i="110"/>
  <c r="C62" i="110"/>
  <c r="C63" i="110"/>
  <c r="C64" i="110"/>
  <c r="C65" i="110"/>
  <c r="E22" i="109"/>
  <c r="E23" i="109"/>
  <c r="E24" i="109"/>
  <c r="E25" i="109"/>
  <c r="E26" i="109"/>
  <c r="C56" i="110" s="1"/>
  <c r="E27" i="109"/>
  <c r="E28" i="109"/>
  <c r="E29" i="109"/>
  <c r="E30" i="109"/>
  <c r="E31" i="109"/>
  <c r="E32" i="109"/>
  <c r="E33" i="109"/>
  <c r="E34" i="109"/>
  <c r="E35" i="109"/>
  <c r="B25" i="109"/>
  <c r="C9" i="110"/>
  <c r="C10" i="110"/>
  <c r="C11" i="110"/>
  <c r="C12" i="110"/>
  <c r="C13" i="110"/>
  <c r="C14" i="110"/>
  <c r="C15" i="110"/>
  <c r="C16" i="110"/>
  <c r="C17" i="110"/>
  <c r="C18" i="110"/>
  <c r="C19" i="110"/>
  <c r="C20" i="110"/>
  <c r="C21" i="110"/>
  <c r="C22" i="110"/>
  <c r="C23" i="110"/>
  <c r="C24" i="110"/>
  <c r="C25" i="110"/>
  <c r="C26" i="110"/>
  <c r="B31" i="109"/>
  <c r="B28" i="109"/>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3" i="133"/>
  <c r="C44" i="133"/>
  <c r="C45" i="133"/>
  <c r="C46" i="133"/>
  <c r="C47" i="133"/>
  <c r="C48" i="133"/>
  <c r="C49" i="133"/>
  <c r="C50" i="133"/>
  <c r="C51" i="133"/>
  <c r="C1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B29" i="109"/>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I10" i="108"/>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B23" i="109"/>
  <c r="B27" i="109"/>
  <c r="B32" i="109"/>
  <c r="B33" i="109"/>
  <c r="B34" i="109"/>
  <c r="B35" i="109"/>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2" i="108"/>
  <c r="I13" i="108"/>
  <c r="I14" i="108"/>
  <c r="I15" i="108"/>
  <c r="I16" i="108"/>
  <c r="I17" i="108"/>
  <c r="I18" i="108"/>
  <c r="I19" i="108"/>
  <c r="I20" i="108"/>
  <c r="I21" i="108"/>
  <c r="I22" i="108"/>
  <c r="I23" i="108"/>
  <c r="I24" i="108"/>
  <c r="I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I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37" i="110" s="1"/>
  <c r="I9" i="108"/>
  <c r="I11" i="108"/>
  <c r="C31" i="110"/>
  <c r="C30" i="110"/>
  <c r="C2" i="110"/>
  <c r="C1" i="110"/>
  <c r="B10" i="109"/>
  <c r="E10" i="109" s="1"/>
  <c r="C40" i="110" s="1"/>
  <c r="E9" i="109"/>
  <c r="C39" i="110" s="1"/>
  <c r="B9" i="109"/>
  <c r="C7" i="109" s="1"/>
  <c r="E7" i="109" s="1"/>
  <c r="C36" i="110" s="1"/>
  <c r="E6" i="109"/>
  <c r="C35" i="110" s="1"/>
  <c r="E5" i="109"/>
  <c r="C34" i="110" s="1"/>
  <c r="E4" i="109"/>
  <c r="C33" i="110" s="1"/>
  <c r="E3" i="109"/>
  <c r="C32" i="110" s="1"/>
  <c r="I8" i="108"/>
  <c r="C8" i="110" s="1"/>
  <c r="I7" i="108"/>
  <c r="C7" i="110" s="1"/>
  <c r="I6" i="108"/>
  <c r="C6" i="110" s="1"/>
  <c r="I5" i="108"/>
  <c r="C5" i="110" s="1"/>
  <c r="I4" i="108"/>
  <c r="C4" i="110" s="1"/>
  <c r="I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E15" i="116" l="1"/>
  <c r="B20" i="116"/>
  <c r="E20" i="116" s="1"/>
  <c r="B14" i="116"/>
  <c r="E14" i="116" s="1"/>
  <c r="C40" i="113"/>
  <c r="E12" i="33"/>
  <c r="E16" i="33"/>
  <c r="C46" i="73" s="1"/>
  <c r="E14" i="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sharedStrings.xml><?xml version="1.0" encoding="utf-8"?>
<sst xmlns="http://schemas.openxmlformats.org/spreadsheetml/2006/main" count="1302" uniqueCount="648">
  <si>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</si>
  <si>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</si>
  <si>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</si>
  <si>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</si>
  <si>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</si>
  <si>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</si>
  <si>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</si>
  <si>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</si>
  <si>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</si>
  <si>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</si>
  <si>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</si>
  <si>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</si>
  <si>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</si>
  <si>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</si>
  <si>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</si>
  <si>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</si>
  <si>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</si>
  <si>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</si>
  <si>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</si>
  <si>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</si>
  <si>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</si>
  <si>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</si>
  <si>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</si>
  <si>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</si>
  <si>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</si>
  <si>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</si>
  <si>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</si>
  <si>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</si>
  <si>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</si>
  <si>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</si>
  <si>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</si>
  <si>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</si>
  <si>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</si>
  <si>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</si>
  <si>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</si>
  <si>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</si>
  <si>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</si>
  <si>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</si>
  <si>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</si>
  <si>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</si>
  <si>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</si>
  <si>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</si>
  <si>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</si>
  <si>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</si>
  <si>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</si>
  <si>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</si>
  <si>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</si>
  <si>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</si>
  <si>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</si>
  <si>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</si>
  <si>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</si>
  <si>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</si>
  <si>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</si>
  <si>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</si>
  <si>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</si>
  <si>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</si>
  <si>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</si>
  <si>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</si>
  <si>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</si>
  <si>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</si>
  <si>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</si>
  <si>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</si>
  <si>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</si>
  <si>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</si>
  <si>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</si>
  <si>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</si>
  <si>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</si>
  <si>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</si>
  <si>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</si>
  <si>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</si>
  <si>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</si>
  <si>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</si>
  <si>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</si>
  <si>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</si>
  <si>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</si>
  <si>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</si>
  <si>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</si>
  <si>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</si>
  <si>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</si>
  <si>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</si>
  <si>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</si>
  <si>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</si>
  <si>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</si>
  <si>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</si>
  <si>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</si>
  <si>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</si>
  <si>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</si>
  <si>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</si>
  <si>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</si>
  <si>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</si>
  <si>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</si>
  <si>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</si>
  <si>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</si>
  <si>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</si>
  <si>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</si>
  <si>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</si>
  <si>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</si>
  <si>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</si>
  <si>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</si>
  <si>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</si>
  <si>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</si>
  <si>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</si>
  <si>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</si>
  <si>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</si>
  <si>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</si>
  <si>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</si>
  <si>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</si>
  <si>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</si>
  <si>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</si>
  <si>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</si>
  <si>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</si>
  <si>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</si>
  <si>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</si>
  <si>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</si>
  <si>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</si>
  <si>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</si>
  <si>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</si>
  <si>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</si>
  <si>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</si>
  <si>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</si>
  <si>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</si>
  <si>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</si>
  <si>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</si>
  <si>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</si>
  <si>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</si>
  <si>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</si>
  <si>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</si>
  <si>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</si>
  <si>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</si>
  <si>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</si>
  <si>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</si>
  <si>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</si>
  <si>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</si>
  <si>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</si>
  <si>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</si>
  <si>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</si>
  <si>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</si>
  <si>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</si>
  <si>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</si>
  <si>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</si>
  <si>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</si>
  <si>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</si>
  <si>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</si>
  <si>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</si>
  <si>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</si>
  <si>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</si>
  <si>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</si>
  <si>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</si>
  <si>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</si>
  <si>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</si>
  <si>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</si>
  <si>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</si>
  <si>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</si>
  <si>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</si>
  <si>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</si>
  <si>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</si>
  <si>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</si>
  <si>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</si>
  <si>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</si>
  <si>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</si>
  <si>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</si>
  <si>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</si>
  <si>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</si>
  <si>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</si>
  <si>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</si>
  <si>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</si>
  <si>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</si>
  <si>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</si>
  <si>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</si>
  <si>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</si>
  <si>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</si>
  <si>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</si>
  <si>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</si>
  <si>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</si>
  <si>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</si>
  <si>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</si>
  <si>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</si>
  <si>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</si>
  <si>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</si>
  <si>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</si>
  <si>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</si>
  <si>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</si>
  <si>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</si>
  <si>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</si>
  <si>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</si>
  <si>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</si>
  <si>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</si>
  <si>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</si>
  <si>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</si>
  <si>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</si>
  <si>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</si>
  <si>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</si>
  <si>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</si>
  <si>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</si>
  <si>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</si>
  <si>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</si>
  <si>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</si>
  <si>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</si>
  <si>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</si>
  <si>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</si>
  <si>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</si>
  <si>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</si>
  <si>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</si>
  <si>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</si>
  <si>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</si>
  <si>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</si>
  <si>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</si>
  <si>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</si>
  <si>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</si>
  <si>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</si>
  <si>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</si>
  <si>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</si>
  <si>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</si>
  <si>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</si>
  <si>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</si>
  <si>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</si>
  <si>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</si>
  <si>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</si>
  <si>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</si>
  <si>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</si>
  <si>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</si>
  <si>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</si>
  <si>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</si>
  <si>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</si>
  <si>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</si>
  <si>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</si>
  <si>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</si>
  <si>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</si>
  <si>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</si>
  <si>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</si>
  <si>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</si>
  <si>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</si>
  <si>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</si>
  <si>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</si>
  <si>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</si>
  <si>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</si>
  <si>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</si>
  <si>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</si>
  <si>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</si>
  <si>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</si>
  <si>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</si>
  <si>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</si>
  <si>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</si>
  <si>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</si>
  <si>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</si>
  <si>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</si>
  <si>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</si>
  <si>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</si>
  <si>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</si>
  <si>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</si>
  <si>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</si>
  <si>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</si>
  <si>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</si>
  <si>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</si>
  <si>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</si>
  <si>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</si>
  <si>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</si>
  <si>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</si>
  <si>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</si>
  <si>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</si>
  <si>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</si>
  <si>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</si>
  <si>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</si>
  <si>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</si>
  <si>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</si>
  <si>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</si>
  <si>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</si>
  <si>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</si>
  <si>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</si>
  <si>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</si>
  <si>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</si>
  <si>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</si>
  <si>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</si>
  <si>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</si>
  <si>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</si>
  <si>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</si>
  <si>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</si>
  <si>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</si>
  <si>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</si>
  <si>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</si>
  <si>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</si>
  <si>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</si>
  <si>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</si>
  <si>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</si>
  <si>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</si>
  <si>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</si>
  <si>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</si>
  <si>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</si>
  <si>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</si>
  <si>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</si>
  <si>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</si>
  <si>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</si>
  <si>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</si>
  <si>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</si>
  <si>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</si>
  <si>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</si>
  <si>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</si>
  <si>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</si>
  <si>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</si>
  <si>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</si>
  <si>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</si>
  <si>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</si>
  <si>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</si>
  <si>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</si>
  <si>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</si>
  <si>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</si>
  <si>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</si>
  <si>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</si>
  <si>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</si>
  <si>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</si>
  <si>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</si>
  <si>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</si>
  <si>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</si>
  <si>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</si>
  <si>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</si>
  <si>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</si>
  <si>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</si>
  <si>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</si>
  <si>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</si>
  <si>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</si>
  <si>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</si>
  <si>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</si>
  <si>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</si>
  <si>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</si>
  <si>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</si>
  <si>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</si>
  <si>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</si>
  <si>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</si>
  <si>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</si>
  <si>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</si>
  <si>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</si>
  <si>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</si>
  <si>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</si>
  <si>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</si>
  <si>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</si>
  <si>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</si>
  <si>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</si>
  <si>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</si>
  <si>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</si>
  <si>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</si>
  <si>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</si>
  <si>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</si>
  <si>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</si>
  <si>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</si>
  <si>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</si>
  <si>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</si>
  <si>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</si>
  <si>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</si>
  <si>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</si>
  <si>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</si>
  <si>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</si>
  <si>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</si>
  <si>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</si>
  <si>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</si>
  <si>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</si>
  <si>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</si>
  <si>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</si>
  <si>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</si>
  <si>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</si>
  <si>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</si>
  <si>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</si>
  <si>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</si>
  <si>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</si>
  <si>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</si>
  <si>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</si>
  <si>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</si>
  <si>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</si>
  <si>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</si>
  <si>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</si>
  <si>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</si>
  <si>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</si>
  <si>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</si>
  <si>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</si>
  <si>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</si>
  <si>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</si>
  <si>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</si>
  <si>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</si>
  <si>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</si>
  <si>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</si>
  <si>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</si>
  <si>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</si>
  <si>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</si>
  <si>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</si>
  <si>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</si>
  <si>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</si>
  <si>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</si>
  <si>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</si>
  <si>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</si>
  <si>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</si>
  <si>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</si>
  <si>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</si>
  <si>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</si>
  <si>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</si>
  <si>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</si>
  <si>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</si>
  <si>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</si>
  <si>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</si>
  <si>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</si>
  <si>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</si>
  <si>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</si>
  <si>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</si>
  <si>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</si>
  <si>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</si>
  <si>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</si>
  <si>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</si>
  <si>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</si>
  <si>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</si>
  <si>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</si>
  <si>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</si>
  <si>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</si>
  <si>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</si>
  <si>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</si>
  <si>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</si>
  <si>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</si>
  <si>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</si>
  <si>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</si>
  <si>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</si>
  <si>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</si>
  <si>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</si>
  <si>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</si>
  <si>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</si>
  <si>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</si>
  <si>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</si>
  <si>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</si>
  <si>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</si>
  <si>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</si>
  <si>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</si>
  <si>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(A2, A3)</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</si>
  <si>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</si>
  <si>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</si>
  <si>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</si>
  <si>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</si>
  <si>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</si>
  <si>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</si>
  <si>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</si>
  <si>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</si>
  <si>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</si>
  <si>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</si>
  <si>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</si>
  <si>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</si>
  <si>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</si>
  <si>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</si>
  <si>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</si>
  <si>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</si>
  <si>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</si>
  <si>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</si>
  <si>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</si>
  <si>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</si>
  <si>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</si>
  <si>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</si>
  <si>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</si>
  <si>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</si>
  <si>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</si>
  <si>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</si>
  <si>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</si>
  <si>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</si>
  <si>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</si>
  <si>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</si>
  <si>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 information (A.4)</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</si>
  <si>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</si>
  <si>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</si>
  <si>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</si>
  <si>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</si>
  <si>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</si>
  <si>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</si>
  <si>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</si>
  <si>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</si>
  <si>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</si>
  <si>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</si>
  <si>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</si>
  <si>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</si>
  <si>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</si>
  <si>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</si>
  <si>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</si>
  <si>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</si>
  <si>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</si>
  <si>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</si>
  <si>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</si>
  <si>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</si>
  <si>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</si>
  <si>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</si>
  <si>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</si>
  <si>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</si>
  <si>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</si>
  <si>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</si>
  <si>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</si>
  <si>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</si>
  <si>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</si>
  <si>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</si>
  <si>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</si>
  <si>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</si>
  <si>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</si>
  <si>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</si>
  <si>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</si>
  <si>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</si>
  <si>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</si>
  <si>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</si>
  <si>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</si>
  <si>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</si>
  <si>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</si>
  <si>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</si>
  <si>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</si>
  <si>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Results data elements (A.5)</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</si>
  <si>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</si>
  <si>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</si>
  <si>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</si>
  <si>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</si>
  <si>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</si>
  <si>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</si>
  <si>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</si>
  <si>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</si>
  <si>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</si>
  <si>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</si>
  <si>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</si>
  <si>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</si>
  <si>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</si>
  <si>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</si>
  <si>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</si>
  <si>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</si>
  <si>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</si>
  <si>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</si>
  <si>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</si>
  <si>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</si>
  <si>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</si>
  <si>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</si>
  <si>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</si>
  <si>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</si>
  <si>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</si>
  <si>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</si>
  <si>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</si>
  <si>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</si>
  <si>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</si>
  <si>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</si>
  <si>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</si>
  <si>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</si>
  <si>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</si>
  <si>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</si>
  <si>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</si>
  <si>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</si>
  <si>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</si>
  <si>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</si>
  <si>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</si>
  <si>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</si>
  <si>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</si>
  <si>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</si>
  <si>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</si>
  <si>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</si>
  <si>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</si>
  <si>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</si>
  <si>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</si>
  <si>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</si>
  <si>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</si>
  <si>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</si>
  <si>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</si>
  <si>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</si>
  <si>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</si>
  <si>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</si>
  <si>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</si>
  <si>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</si>
  <si>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</si>
  <si>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</si>
  <si>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</si>
  <si>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</si>
  <si>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</si>
  <si>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</si>
  <si>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</si>
  <si>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</si>
  <si>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.extension('http://hl7.org/fhir/StructureDefinition/cqf-receivingOrganization') [TBD}</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</si>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</sst>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s>
  <fills count="1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88">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17/10/relationships/person" Target="persons/person.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B00-000001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E00-000001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100-0000014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400-0000010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7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A00-0000015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D00-000001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000-000001C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8.vml"/><Relationship Id="rId1" Type="http://schemas.openxmlformats.org/officeDocument/2006/relationships/printerSettings" Target="../printerSettings/printerSettings9.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8.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9.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topLeftCell="A22" workbookViewId="0">
      <selection activeCell="B25" sqref="B25:E28"/>
    </sheetView>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68" t="s">
        <v>39</v>
      </c>
      <c r="C3" s="69"/>
      <c r="D3" s="35" t="s">
        <v>40</v>
      </c>
      <c r="E3" s="35" t="s">
        <v>41</v>
      </c>
    </row>
    <row r="4" spans="2:5" ht="16.75" thickBot="1" x14ac:dyDescent="0.9">
      <c r="B4" s="70" t="s">
        <v>42</v>
      </c>
      <c r="C4" s="71"/>
      <c r="D4" s="71"/>
      <c r="E4" s="72"/>
    </row>
    <row r="5" spans="2:5" ht="16.75" thickBot="1" x14ac:dyDescent="0.9">
      <c r="B5" s="70" t="s">
        <v>43</v>
      </c>
      <c r="C5" s="71"/>
      <c r="D5" s="71"/>
      <c r="E5" s="72"/>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73" t="s">
        <v>57</v>
      </c>
      <c r="C10" s="73" t="s">
        <v>58</v>
      </c>
      <c r="D10" s="40" t="s">
        <v>59</v>
      </c>
      <c r="E10" s="76" t="s">
        <v>60</v>
      </c>
    </row>
    <row r="11" spans="2:5" x14ac:dyDescent="0.75">
      <c r="B11" s="74"/>
      <c r="C11" s="74"/>
      <c r="D11" s="41"/>
      <c r="E11" s="77"/>
    </row>
    <row r="12" spans="2:5" ht="32.75" thickBot="1" x14ac:dyDescent="0.9">
      <c r="B12" s="75"/>
      <c r="C12" s="75"/>
      <c r="D12" s="37" t="s">
        <v>61</v>
      </c>
      <c r="E12" s="78"/>
    </row>
    <row r="13" spans="2:5" ht="16.75" thickBot="1" x14ac:dyDescent="0.9">
      <c r="B13" s="79" t="s">
        <v>62</v>
      </c>
      <c r="C13" s="80"/>
      <c r="D13" s="80"/>
      <c r="E13" s="81"/>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79" t="s">
        <v>70</v>
      </c>
      <c r="C16" s="80"/>
      <c r="D16" s="80"/>
      <c r="E16" s="81"/>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79" t="s">
        <v>83</v>
      </c>
      <c r="C21" s="80"/>
      <c r="D21" s="80"/>
      <c r="E21" s="81"/>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79" t="s">
        <v>93</v>
      </c>
      <c r="C25" s="80"/>
      <c r="D25" s="80"/>
      <c r="E25" s="81"/>
    </row>
    <row r="26" spans="2:5" ht="64.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79" t="s">
        <v>102</v>
      </c>
      <c r="C29" s="80"/>
      <c r="D29" s="80"/>
      <c r="E29" s="81"/>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79" t="s">
        <v>114</v>
      </c>
      <c r="C34" s="80"/>
      <c r="D34" s="80"/>
      <c r="E34" s="81"/>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16.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79" t="s">
        <v>126</v>
      </c>
      <c r="C39" s="80"/>
      <c r="D39" s="80"/>
      <c r="E39" s="81"/>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topLeftCell="A25" workbookViewId="0">
      <selection activeCell="C40" sqref="C40:C42"/>
    </sheetView>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68" t="s">
        <v>39</v>
      </c>
      <c r="C3" s="69"/>
      <c r="D3" s="35" t="s">
        <v>40</v>
      </c>
      <c r="E3" s="35" t="s">
        <v>41</v>
      </c>
    </row>
    <row r="4" spans="2:5" ht="15.5" thickBot="1" x14ac:dyDescent="0.9">
      <c r="B4" s="82" t="s">
        <v>144</v>
      </c>
      <c r="C4" s="83"/>
      <c r="D4" s="83"/>
      <c r="E4" s="84"/>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85" t="s">
        <v>162</v>
      </c>
      <c r="C11" s="86"/>
      <c r="D11" s="86"/>
      <c r="E11" s="87"/>
    </row>
    <row r="12" spans="2:5" ht="32" x14ac:dyDescent="0.75">
      <c r="B12" s="73" t="s">
        <v>163</v>
      </c>
      <c r="C12" s="73" t="s">
        <v>164</v>
      </c>
      <c r="D12" s="73" t="s">
        <v>165</v>
      </c>
      <c r="E12" s="43" t="s">
        <v>166</v>
      </c>
    </row>
    <row r="13" spans="2:5" ht="16" x14ac:dyDescent="0.75">
      <c r="B13" s="74"/>
      <c r="C13" s="74"/>
      <c r="D13" s="74"/>
      <c r="E13" s="43" t="s">
        <v>167</v>
      </c>
    </row>
    <row r="14" spans="2:5" ht="16.75" thickBot="1" x14ac:dyDescent="0.9">
      <c r="B14" s="75"/>
      <c r="C14" s="75"/>
      <c r="D14" s="75"/>
      <c r="E14" s="39" t="s">
        <v>168</v>
      </c>
    </row>
    <row r="15" spans="2:5" ht="15.5" thickBot="1" x14ac:dyDescent="0.9">
      <c r="B15" s="85" t="s">
        <v>169</v>
      </c>
      <c r="C15" s="86"/>
      <c r="D15" s="86"/>
      <c r="E15" s="87"/>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73" t="s">
        <v>188</v>
      </c>
      <c r="C22" s="76" t="s">
        <v>189</v>
      </c>
      <c r="D22" s="73" t="s">
        <v>190</v>
      </c>
      <c r="E22" s="43" t="s">
        <v>167</v>
      </c>
    </row>
    <row r="23" spans="2:5" x14ac:dyDescent="0.75">
      <c r="B23" s="74"/>
      <c r="C23" s="77"/>
      <c r="D23" s="74"/>
      <c r="E23" s="41"/>
    </row>
    <row r="24" spans="2:5" ht="16.75" thickBot="1" x14ac:dyDescent="0.9">
      <c r="B24" s="75"/>
      <c r="C24" s="78"/>
      <c r="D24" s="75"/>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79" t="s">
        <v>198</v>
      </c>
      <c r="C27" s="80"/>
      <c r="D27" s="80"/>
      <c r="E27" s="81"/>
    </row>
    <row r="28" spans="2:5" ht="16.75" thickBot="1" x14ac:dyDescent="0.9">
      <c r="B28" s="79" t="s">
        <v>199</v>
      </c>
      <c r="C28" s="80"/>
      <c r="D28" s="80"/>
      <c r="E28" s="81"/>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79" t="s">
        <v>206</v>
      </c>
      <c r="C31" s="80"/>
      <c r="D31" s="80"/>
      <c r="E31" s="81"/>
    </row>
    <row r="32" spans="2:5" ht="16.75" thickBot="1" x14ac:dyDescent="0.9">
      <c r="B32" s="36" t="s">
        <v>207</v>
      </c>
      <c r="C32" s="39" t="s">
        <v>208</v>
      </c>
      <c r="D32" s="37" t="s">
        <v>209</v>
      </c>
      <c r="E32" s="39" t="s">
        <v>113</v>
      </c>
    </row>
    <row r="33" spans="2:5" ht="16" x14ac:dyDescent="0.75">
      <c r="B33" s="73" t="s">
        <v>210</v>
      </c>
      <c r="C33" s="76" t="s">
        <v>211</v>
      </c>
      <c r="D33" s="73" t="s">
        <v>212</v>
      </c>
      <c r="E33" s="43" t="s">
        <v>130</v>
      </c>
    </row>
    <row r="34" spans="2:5" ht="16" x14ac:dyDescent="0.75">
      <c r="B34" s="74"/>
      <c r="C34" s="77"/>
      <c r="D34" s="74"/>
      <c r="E34" s="43" t="s">
        <v>213</v>
      </c>
    </row>
    <row r="35" spans="2:5" ht="16.75" thickBot="1" x14ac:dyDescent="0.9">
      <c r="B35" s="75"/>
      <c r="C35" s="78"/>
      <c r="D35" s="75"/>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73" t="s">
        <v>226</v>
      </c>
      <c r="C40" s="76" t="s">
        <v>227</v>
      </c>
      <c r="D40" s="73" t="s">
        <v>228</v>
      </c>
      <c r="E40" s="43" t="s">
        <v>167</v>
      </c>
    </row>
    <row r="41" spans="2:5" x14ac:dyDescent="0.75">
      <c r="B41" s="74"/>
      <c r="C41" s="77"/>
      <c r="D41" s="74"/>
      <c r="E41" s="41"/>
    </row>
    <row r="42" spans="2:5" ht="16.75" thickBot="1" x14ac:dyDescent="0.9">
      <c r="B42" s="75"/>
      <c r="C42" s="78"/>
      <c r="D42" s="75"/>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73" t="s">
        <v>238</v>
      </c>
      <c r="C46" s="76" t="s">
        <v>239</v>
      </c>
      <c r="D46" s="73" t="s">
        <v>240</v>
      </c>
      <c r="E46" s="43" t="s">
        <v>241</v>
      </c>
    </row>
    <row r="47" spans="2:5" x14ac:dyDescent="0.75">
      <c r="B47" s="74"/>
      <c r="C47" s="77"/>
      <c r="D47" s="74"/>
      <c r="E47" s="44"/>
    </row>
    <row r="48" spans="2:5" ht="16.75" thickBot="1" x14ac:dyDescent="0.9">
      <c r="B48" s="75"/>
      <c r="C48" s="78"/>
      <c r="D48" s="75"/>
      <c r="E48" s="39" t="s">
        <v>242</v>
      </c>
    </row>
    <row r="49" spans="2:5" ht="16" x14ac:dyDescent="0.75">
      <c r="B49" s="73" t="s">
        <v>243</v>
      </c>
      <c r="C49" s="76" t="s">
        <v>244</v>
      </c>
      <c r="D49" s="73" t="s">
        <v>245</v>
      </c>
      <c r="E49" s="43" t="s">
        <v>167</v>
      </c>
    </row>
    <row r="50" spans="2:5" x14ac:dyDescent="0.75">
      <c r="B50" s="74"/>
      <c r="C50" s="77"/>
      <c r="D50" s="74"/>
      <c r="E50" s="41"/>
    </row>
    <row r="51" spans="2:5" ht="48.75" thickBot="1" x14ac:dyDescent="0.9">
      <c r="B51" s="75"/>
      <c r="C51" s="78"/>
      <c r="D51" s="75"/>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30"/>
  <sheetViews>
    <sheetView topLeftCell="B1" workbookViewId="0">
      <selection activeCell="D10" sqref="D1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2" t="s">
        <v>37</v>
      </c>
    </row>
    <row r="2" spans="1:9" x14ac:dyDescent="0.75">
      <c r="I2" s="33" t="s">
        <v>36</v>
      </c>
    </row>
    <row r="3" spans="1:9" ht="15.5" thickBot="1" x14ac:dyDescent="0.9">
      <c r="I3" s="33" t="str">
        <f>I1</f>
        <v>// -------------------------------------------------------------------------------</v>
      </c>
    </row>
    <row r="4" spans="1:9" x14ac:dyDescent="0.75">
      <c r="A4" s="6" t="s">
        <v>14</v>
      </c>
      <c r="B4" s="17" t="s">
        <v>253</v>
      </c>
      <c r="I4" s="25" t="str">
        <f>CONCATENATE("Logical: ",B4)</f>
        <v>Logical: LabReportEhn</v>
      </c>
    </row>
    <row r="5" spans="1:9" x14ac:dyDescent="0.75">
      <c r="A5" s="18" t="s">
        <v>19</v>
      </c>
      <c r="B5" s="34" t="s">
        <v>254</v>
      </c>
      <c r="I5" s="25" t="str">
        <f>CONCATENATE("Id: ",B5)</f>
        <v>Id: LabReport</v>
      </c>
    </row>
    <row r="6" spans="1:9" x14ac:dyDescent="0.75">
      <c r="A6" s="18" t="s">
        <v>13</v>
      </c>
      <c r="B6" s="19" t="s">
        <v>255</v>
      </c>
      <c r="I6" s="26" t="str">
        <f>CONCATENATE("Title: ##34#",B6,"##34#")</f>
        <v>Title: ##34#Laboratory Report##34#</v>
      </c>
    </row>
    <row r="7" spans="1:9" x14ac:dyDescent="0.75">
      <c r="A7" s="46" t="s">
        <v>5</v>
      </c>
      <c r="B7" s="47" t="s">
        <v>255</v>
      </c>
      <c r="C7" s="12" t="s">
        <v>6</v>
      </c>
      <c r="D7" s="2" t="s">
        <v>7</v>
      </c>
      <c r="E7" s="3" t="s">
        <v>8</v>
      </c>
      <c r="F7" s="3" t="s">
        <v>9</v>
      </c>
      <c r="G7" s="3" t="s">
        <v>10</v>
      </c>
      <c r="I7" s="26" t="str">
        <f>CONCATENATE("Description: "," ##334#",B7,"##334#",)</f>
        <v>Description:  ##334#Laboratory Report##334#</v>
      </c>
    </row>
    <row r="8" spans="1:9" ht="29.5" x14ac:dyDescent="0.75">
      <c r="A8" s="9">
        <v>1</v>
      </c>
      <c r="B8" s="9" t="s">
        <v>256</v>
      </c>
      <c r="C8" s="9" t="s">
        <v>42</v>
      </c>
      <c r="D8" s="14" t="s">
        <v>42</v>
      </c>
      <c r="E8" s="9">
        <v>1</v>
      </c>
      <c r="F8" s="9">
        <v>1</v>
      </c>
      <c r="G8" s="9" t="s">
        <v>4</v>
      </c>
      <c r="H8" s="45"/>
      <c r="I8" s="14" t="str">
        <f t="shared" ref="I8:I26" si="0">CONCATENATE("* ",B8, " ",E8,"..",F8," ",G8," ##34#",C8,"##34# ##334#",D8,"##334#")</f>
        <v>* header 1..1 BackboneElement ##34#A.1 Report header data elements##34# ##334#A.1 Report header data elements##334#</v>
      </c>
    </row>
    <row r="9" spans="1:9" ht="44.25" x14ac:dyDescent="0.75">
      <c r="A9" s="9">
        <v>2</v>
      </c>
      <c r="B9" s="9" t="s">
        <v>257</v>
      </c>
      <c r="C9" s="9" t="s">
        <v>333</v>
      </c>
      <c r="D9" s="9" t="s">
        <v>330</v>
      </c>
      <c r="E9" s="9">
        <v>1</v>
      </c>
      <c r="F9" s="9">
        <v>1</v>
      </c>
      <c r="G9" s="9" t="s">
        <v>329</v>
      </c>
      <c r="H9" s="45"/>
      <c r="I9" s="14" t="str">
        <f t="shared" si="0"/>
        <v>* header.subject 1..1 http://hl7.eu/fhir/ig/xeh/StructureDefinition/Subject ##34#A.1.1 - A1.2 Patient/subject##34# ##334#A.1.1 Identification of the patient/subject and A.1.2 Patient/subject related contact information  ##334#</v>
      </c>
    </row>
    <row r="10" spans="1:9" ht="44.25" x14ac:dyDescent="0.75">
      <c r="A10" s="9">
        <v>3</v>
      </c>
      <c r="B10" s="9" t="s">
        <v>353</v>
      </c>
      <c r="C10" s="9" t="s">
        <v>331</v>
      </c>
      <c r="D10" s="9" t="s">
        <v>331</v>
      </c>
      <c r="E10" s="9">
        <v>0</v>
      </c>
      <c r="F10" s="9">
        <v>1</v>
      </c>
      <c r="G10" s="9" t="s">
        <v>363</v>
      </c>
      <c r="H10" s="45"/>
      <c r="I10" s="14" t="str">
        <f t="shared" si="0"/>
        <v>* header.payer 0..1 http://hl7.eu/fhir/ig/xeh/StructureDefinition/Payer ##34#A.1.3 Health insurance and payment information##34# ##334#A.1.3 Health insurance and payment information##334#</v>
      </c>
    </row>
    <row r="11" spans="1:9" ht="73.75" x14ac:dyDescent="0.75">
      <c r="A11" s="9">
        <v>4</v>
      </c>
      <c r="B11" s="9" t="s">
        <v>269</v>
      </c>
      <c r="C11" s="14" t="s">
        <v>258</v>
      </c>
      <c r="D11" s="14" t="s">
        <v>332</v>
      </c>
      <c r="E11" s="9">
        <v>0</v>
      </c>
      <c r="F11" s="9">
        <v>1</v>
      </c>
      <c r="G11" s="9" t="s">
        <v>394</v>
      </c>
      <c r="H11" s="45"/>
      <c r="I11" s="14"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1:9" ht="44.25" x14ac:dyDescent="0.75">
      <c r="A12" s="9">
        <v>5</v>
      </c>
      <c r="B12" s="9" t="s">
        <v>397</v>
      </c>
      <c r="C12" s="14" t="s">
        <v>396</v>
      </c>
      <c r="D12" s="14" t="s">
        <v>93</v>
      </c>
      <c r="E12" s="9">
        <v>0</v>
      </c>
      <c r="F12" s="9" t="s">
        <v>11</v>
      </c>
      <c r="G12" s="9" t="s">
        <v>402</v>
      </c>
      <c r="H12" s="45"/>
      <c r="I12" s="14" t="str">
        <f t="shared" si="0"/>
        <v>* header.author 0..* http://hl7.eu/fhir/ig/xeh/StructureDefinition/Author ##34#A.1.5 Author##34# ##334#A.1.5 Author (by whom the Laboratory result report or a subset of its results was authored)##334#</v>
      </c>
    </row>
    <row r="13" spans="1:9" ht="59" x14ac:dyDescent="0.75">
      <c r="A13" s="9">
        <v>6</v>
      </c>
      <c r="B13" s="9" t="s">
        <v>398</v>
      </c>
      <c r="C13" s="14" t="s">
        <v>564</v>
      </c>
      <c r="D13" s="14" t="s">
        <v>102</v>
      </c>
      <c r="E13" s="9">
        <v>0</v>
      </c>
      <c r="F13" s="9" t="s">
        <v>11</v>
      </c>
      <c r="G13" s="9" t="s">
        <v>401</v>
      </c>
      <c r="H13" s="45"/>
      <c r="I13" s="14" t="str">
        <f t="shared" si="0"/>
        <v>* header.legalAuthenticator 0..* http://hl7.eu/fhir/ig/xeh/StructureDefinition/LegalAuthenticator ##34#A.1.6 Legal authenticator##34# ##334#A.1.6 Legal authenticator (The person taking responsibility for the medical content of the document)##334#</v>
      </c>
    </row>
    <row r="14" spans="1:9" ht="29.5" x14ac:dyDescent="0.75">
      <c r="A14" s="9">
        <v>7</v>
      </c>
      <c r="B14" s="9" t="s">
        <v>270</v>
      </c>
      <c r="C14" s="14" t="s">
        <v>114</v>
      </c>
      <c r="D14" s="14" t="s">
        <v>114</v>
      </c>
      <c r="E14" s="9">
        <v>0</v>
      </c>
      <c r="F14" s="9" t="s">
        <v>11</v>
      </c>
      <c r="G14" s="53" t="s">
        <v>395</v>
      </c>
      <c r="H14" s="45"/>
      <c r="I14" s="14" t="str">
        <f t="shared" si="0"/>
        <v>* header.validator 0..* http://hl7.eu/fhir/ig/xeh/StructureDefinition/Validator ##34#A.1.7 Result validator##34# ##334#A.1.7 Result validator##334#</v>
      </c>
    </row>
    <row r="15" spans="1:9" ht="29.5" x14ac:dyDescent="0.75">
      <c r="A15" s="9">
        <v>8</v>
      </c>
      <c r="B15" s="9" t="s">
        <v>271</v>
      </c>
      <c r="C15" s="9" t="s">
        <v>126</v>
      </c>
      <c r="D15" s="9" t="s">
        <v>126</v>
      </c>
      <c r="E15" s="9">
        <v>1</v>
      </c>
      <c r="F15" s="9">
        <v>1</v>
      </c>
      <c r="G15" s="9" t="s">
        <v>4</v>
      </c>
      <c r="H15" s="45"/>
      <c r="I15" s="14" t="str">
        <f t="shared" si="0"/>
        <v>* header.metadata 1..1 BackboneElement ##34#A.1.8 Laboratory report metadata##34# ##334#A.1.8 Laboratory report metadata##334#</v>
      </c>
    </row>
    <row r="16" spans="1:9" ht="44.25" x14ac:dyDescent="0.75">
      <c r="A16" s="9">
        <v>9</v>
      </c>
      <c r="B16" s="9" t="s">
        <v>272</v>
      </c>
      <c r="C16" s="9" t="s">
        <v>259</v>
      </c>
      <c r="D16" s="14" t="s">
        <v>264</v>
      </c>
      <c r="E16" s="9">
        <v>1</v>
      </c>
      <c r="F16" s="9">
        <v>1</v>
      </c>
      <c r="G16" s="9" t="s">
        <v>1</v>
      </c>
      <c r="H16" s="45"/>
      <c r="I16" s="14" t="str">
        <f t="shared" si="0"/>
        <v>* header.metadata.type 1..1 CodeableConcept ##34#A.1.8.1 Document type##34# ##334#A coded type of the document. Fixed value "Laboratory report" - Preferred system(s): LOINC##334#</v>
      </c>
    </row>
    <row r="17" spans="1:11" ht="44.25" x14ac:dyDescent="0.75">
      <c r="A17" s="9">
        <v>10</v>
      </c>
      <c r="B17" s="9" t="s">
        <v>273</v>
      </c>
      <c r="C17" s="9" t="s">
        <v>260</v>
      </c>
      <c r="D17" s="14" t="s">
        <v>265</v>
      </c>
      <c r="E17" s="9">
        <v>1</v>
      </c>
      <c r="F17" s="9">
        <v>1</v>
      </c>
      <c r="G17" s="9" t="s">
        <v>1</v>
      </c>
      <c r="H17" s="45"/>
      <c r="I17" s="14" t="str">
        <f t="shared" si="0"/>
        <v>* header.metadata.status 1..1 CodeableConcept ##34#A.1.8.2 Document status##34# ##334#The status of the laboratory test result report. E.g., preliminary, final. - Preferred system(s): hl7:DiagnosticReportStatus##334#</v>
      </c>
      <c r="J17" s="16"/>
      <c r="K17" s="9"/>
    </row>
    <row r="18" spans="1:11" ht="44.25" x14ac:dyDescent="0.75">
      <c r="A18" s="9">
        <v>11</v>
      </c>
      <c r="B18" s="9" t="s">
        <v>274</v>
      </c>
      <c r="C18" s="9" t="s">
        <v>261</v>
      </c>
      <c r="D18" s="14" t="s">
        <v>266</v>
      </c>
      <c r="E18" s="9">
        <v>1</v>
      </c>
      <c r="F18" s="9">
        <v>1</v>
      </c>
      <c r="G18" s="9" t="s">
        <v>2</v>
      </c>
      <c r="I18" s="14" t="str">
        <f t="shared" si="0"/>
        <v>* header.metadata.dateTime 1..1 dateTime ##34#A.1.8.3 Report date and time##34# ##334#Date and time of the result report creation. - Preferred system(s): ISO 8601##334#</v>
      </c>
    </row>
    <row r="19" spans="1:11" ht="44.25" x14ac:dyDescent="0.75">
      <c r="A19" s="9">
        <v>12</v>
      </c>
      <c r="B19" s="9" t="s">
        <v>275</v>
      </c>
      <c r="C19" s="9" t="s">
        <v>262</v>
      </c>
      <c r="D19" s="14" t="s">
        <v>267</v>
      </c>
      <c r="E19" s="9">
        <v>0</v>
      </c>
      <c r="F19" s="9">
        <v>1</v>
      </c>
      <c r="G19" s="9" t="s">
        <v>3</v>
      </c>
      <c r="I19" s="14" t="str">
        <f t="shared" si="0"/>
        <v>* header.metadata.title 0..1 string ##34#A.1.8.4 Document title##34# ##334#Document title, e.g. "Laboratory Result report" - Preferred system(s): ##334#</v>
      </c>
    </row>
    <row r="20" spans="1:11" ht="44.25" x14ac:dyDescent="0.75">
      <c r="A20" s="9">
        <v>13</v>
      </c>
      <c r="B20" s="9" t="s">
        <v>276</v>
      </c>
      <c r="C20" s="9" t="s">
        <v>263</v>
      </c>
      <c r="D20" s="14" t="s">
        <v>268</v>
      </c>
      <c r="E20" s="9">
        <v>0</v>
      </c>
      <c r="F20" s="9">
        <v>1</v>
      </c>
      <c r="G20" s="9" t="s">
        <v>4</v>
      </c>
      <c r="I20" s="14" t="str">
        <f t="shared" si="0"/>
        <v>* header.metadata.custodian 0..1 BackboneElement ##34#A.1.8.5 Report custodian##34# ##334#Organisation that is in charge of maintaining the laboratory report - Preferred system(s): ##334#</v>
      </c>
    </row>
    <row r="21" spans="1:11" ht="73.75" x14ac:dyDescent="0.75">
      <c r="A21" s="9">
        <v>14</v>
      </c>
      <c r="B21" s="9" t="s">
        <v>334</v>
      </c>
      <c r="C21" s="9" t="s">
        <v>335</v>
      </c>
      <c r="D21" s="4" t="s">
        <v>336</v>
      </c>
      <c r="E21" s="9">
        <v>0</v>
      </c>
      <c r="F21" s="9" t="s">
        <v>11</v>
      </c>
      <c r="G21" s="9" t="s">
        <v>448</v>
      </c>
      <c r="I21" s="14" t="str">
        <f t="shared" si="0"/>
        <v>* order 0..* http://hl7.eu/fhir/ig/xeh/StructureDefinition/Order ##34#A.2-A.3 Order##34# ##334#A.2 Order information (Laboratory Result Report could respond to multiple test orders)
A.3 Order reason (Laboratory Result Report could respond to multiple reasons)
##334#</v>
      </c>
    </row>
    <row r="22" spans="1:11" ht="44.25" x14ac:dyDescent="0.75">
      <c r="A22" s="9">
        <v>15</v>
      </c>
      <c r="B22" s="9" t="s">
        <v>337</v>
      </c>
      <c r="C22" s="9" t="s">
        <v>169</v>
      </c>
      <c r="D22" s="9" t="s">
        <v>169</v>
      </c>
      <c r="E22" s="9">
        <v>0</v>
      </c>
      <c r="F22" s="9" t="s">
        <v>11</v>
      </c>
      <c r="G22" s="9" t="s">
        <v>566</v>
      </c>
      <c r="I22" s="14" t="str">
        <f t="shared" si="0"/>
        <v>* specimen 0..* http://hl7.eu/fhir/ig/xeh/StructureDefinition/SpecimenLab ##34#A.4 Specimen information##34# ##334#A.4 Specimen information##334#</v>
      </c>
    </row>
    <row r="23" spans="1:11" ht="29.5" x14ac:dyDescent="0.75">
      <c r="A23" s="9">
        <v>16</v>
      </c>
      <c r="B23" s="9" t="s">
        <v>338</v>
      </c>
      <c r="C23" s="9" t="s">
        <v>198</v>
      </c>
      <c r="D23" s="9" t="s">
        <v>198</v>
      </c>
      <c r="E23" s="9">
        <v>0</v>
      </c>
      <c r="F23" s="9" t="s">
        <v>11</v>
      </c>
      <c r="G23" s="9" t="s">
        <v>528</v>
      </c>
      <c r="I23" s="14" t="str">
        <f t="shared" si="0"/>
        <v>* result 0..* http://hl7.eu/fhir/ig/xeh/StructureDefinition/Result ##34#A.5 Results data elements##34# ##334#A.5 Results data elements##334#</v>
      </c>
    </row>
    <row r="24" spans="1:11" x14ac:dyDescent="0.75">
      <c r="I24" s="14" t="str">
        <f t="shared" si="0"/>
        <v>*  ..  ##34###34# ##334###334#</v>
      </c>
    </row>
    <row r="25" spans="1:11" x14ac:dyDescent="0.75">
      <c r="I25" s="14" t="str">
        <f t="shared" si="0"/>
        <v>*  ..  ##34###34# ##334###334#</v>
      </c>
    </row>
    <row r="26" spans="1:11" x14ac:dyDescent="0.75">
      <c r="B26" s="10"/>
      <c r="F26" s="10"/>
      <c r="I26" s="14" t="str">
        <f t="shared" si="0"/>
        <v>*  ..  ##34###34# ##334###334#</v>
      </c>
    </row>
    <row r="27" spans="1:11" x14ac:dyDescent="0.75">
      <c r="I27" s="14"/>
    </row>
    <row r="30" spans="1:11" x14ac:dyDescent="0.75">
      <c r="C30" s="10"/>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topLeftCell="A3" workbookViewId="0">
      <selection activeCell="B26" sqref="B26"/>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328</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326</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278</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277</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279</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637</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567</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407</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408</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409</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285</v>
      </c>
      <c r="E17" s="14" t="str">
        <f t="shared" si="0"/>
        <v>* header.metadata -&gt; ##34#Composition##34#</v>
      </c>
    </row>
    <row r="18" spans="1:5" x14ac:dyDescent="0.75">
      <c r="A18" s="9"/>
      <c r="B18" s="9" t="str">
        <f>Report!B16</f>
        <v>header.metadata.type</v>
      </c>
      <c r="C18" s="14" t="s">
        <v>284</v>
      </c>
      <c r="E18" s="14" t="str">
        <f t="shared" si="0"/>
        <v>* header.metadata.type -&gt; ##34#Composition.type##34#</v>
      </c>
    </row>
    <row r="19" spans="1:5" x14ac:dyDescent="0.75">
      <c r="A19" s="9"/>
      <c r="B19" s="9" t="str">
        <f>Report!B17</f>
        <v>header.metadata.status</v>
      </c>
      <c r="C19" s="14" t="s">
        <v>281</v>
      </c>
      <c r="E19" s="14" t="str">
        <f t="shared" si="0"/>
        <v>* header.metadata.status -&gt; ##34#Composition.status##34#</v>
      </c>
    </row>
    <row r="20" spans="1:5" x14ac:dyDescent="0.75">
      <c r="A20" s="9"/>
      <c r="B20" s="9" t="str">
        <f>Report!B18</f>
        <v>header.metadata.dateTime</v>
      </c>
      <c r="C20" s="14" t="s">
        <v>280</v>
      </c>
      <c r="E20" s="14" t="str">
        <f t="shared" si="0"/>
        <v>* header.metadata.dateTime -&gt; ##34#Bundle.timestamp##34#</v>
      </c>
    </row>
    <row r="21" spans="1:5" x14ac:dyDescent="0.75">
      <c r="B21" s="9" t="str">
        <f>Report!B19</f>
        <v>header.metadata.title</v>
      </c>
      <c r="C21" s="14" t="s">
        <v>282</v>
      </c>
      <c r="E21" s="14" t="str">
        <f t="shared" si="0"/>
        <v>* header.metadata.title -&gt; ##34#Composition.title##34#</v>
      </c>
    </row>
    <row r="22" spans="1:5" x14ac:dyDescent="0.75">
      <c r="B22" s="9" t="str">
        <f>Report!B20</f>
        <v>header.metadata.custodian</v>
      </c>
      <c r="C22" s="14" t="s">
        <v>283</v>
      </c>
      <c r="E22" s="14" t="str">
        <f t="shared" si="0"/>
        <v>* header.metadata.custodian -&gt; ##34#Composition.custodian##34#</v>
      </c>
    </row>
    <row r="23" spans="1:5" ht="29.5" x14ac:dyDescent="0.75">
      <c r="B23" s="62" t="str">
        <f>Report!B21</f>
        <v>order</v>
      </c>
      <c r="C23" s="14" t="s">
        <v>339</v>
      </c>
      <c r="E23" s="14" t="str">
        <f t="shared" si="0"/>
        <v>* order -&gt; ##34#Composition.extension('http://hl7.eu/fhir/ig/xeh/StructureDefinition/composition-basedOn-order-or-requisition').valueReference.resolve()##34#</v>
      </c>
    </row>
    <row r="24" spans="1:5" ht="29.5" x14ac:dyDescent="0.75">
      <c r="B24" s="62" t="str">
        <f>Report!B21</f>
        <v>order</v>
      </c>
      <c r="C24" s="14" t="s">
        <v>638</v>
      </c>
      <c r="E24" s="14" t="str">
        <f t="shared" si="0"/>
        <v>* order -&gt; ##34#Composition.extension('http://hl7.eu/fhir/ig/xeh/StructureDefinition/composition-basedOn-order-or-requisition').valueIdentifier##34#</v>
      </c>
    </row>
    <row r="25" spans="1:5" ht="59" x14ac:dyDescent="0.75">
      <c r="B25" s="62" t="str">
        <f>Report!B21</f>
        <v>order</v>
      </c>
      <c r="C25" s="14" t="s">
        <v>647</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Report!B21</f>
        <v>order</v>
      </c>
      <c r="C26" s="14" t="s">
        <v>646</v>
      </c>
      <c r="E26" s="14" t="str">
        <f t="shared" si="0"/>
        <v>* order -&gt; ##34#DiagnosticReport.conformsTo('http://hl7.eu/fhir/ig/xeh/StructureDefinition/DiagnosticReport-lab-xeh').basedOn.resolve()##34#</v>
      </c>
    </row>
    <row r="27" spans="1:5" ht="29.5" x14ac:dyDescent="0.75">
      <c r="B27" s="9" t="str">
        <f>Report!B22</f>
        <v>specimen</v>
      </c>
      <c r="C27" s="14" t="s">
        <v>340</v>
      </c>
      <c r="E27" s="14" t="str">
        <f t="shared" si="0"/>
        <v>* specimen -&gt; ##34#Observation.conformsTo('http://hl7.eu/fhir/ig/xeh/StructureDefinition/Observation-results-laboratory-eu-xeh').specimen.resolve()##34#</v>
      </c>
    </row>
    <row r="28" spans="1:5" ht="29.5" x14ac:dyDescent="0.75">
      <c r="B28" s="9" t="str">
        <f>Report!B22</f>
        <v>specimen</v>
      </c>
      <c r="C28" s="14" t="s">
        <v>644</v>
      </c>
      <c r="E28" s="14" t="str">
        <f t="shared" si="0"/>
        <v>* specimen -&gt; ##34#DiagnosticReport.conformsTo('http://hl7.eu/fhir/ig/xeh/StructureDefinition/DiagnosticReport-lab-xeh').specimen.resolve()##34#</v>
      </c>
    </row>
    <row r="29" spans="1:5" x14ac:dyDescent="0.75">
      <c r="B29" s="62" t="str">
        <f>Report!$B$23</f>
        <v>result</v>
      </c>
      <c r="C29" s="14" t="s">
        <v>596</v>
      </c>
      <c r="E29" s="14" t="str">
        <f t="shared" si="0"/>
        <v>* result -&gt; ##34#Composition.section:no-subsections.entry.resolve()##34#</v>
      </c>
    </row>
    <row r="30" spans="1:5" x14ac:dyDescent="0.75">
      <c r="B30" s="62" t="str">
        <f>Report!$B$23</f>
        <v>result</v>
      </c>
      <c r="C30" s="14" t="s">
        <v>597</v>
      </c>
      <c r="E30" s="14" t="str">
        <f t="shared" si="0"/>
        <v>* result -&gt; ##34#Composition.section:subsections.section.entry.resolve()##34#</v>
      </c>
    </row>
    <row r="31" spans="1:5" ht="29.5" x14ac:dyDescent="0.75">
      <c r="B31" s="62" t="str">
        <f>Report!$B$23</f>
        <v>result</v>
      </c>
      <c r="C31" s="14" t="s">
        <v>645</v>
      </c>
      <c r="E31" s="14" t="str">
        <f t="shared" si="0"/>
        <v>* result -&gt; ##34#DiagnosticReport.conformsTo('http://hl7.eu/fhir/ig/xeh/StructureDefinition/DiagnosticReport-lab-xeh').result.resolve()##34#</v>
      </c>
    </row>
    <row r="32" spans="1:5" x14ac:dyDescent="0.75">
      <c r="B32" s="9">
        <f>Report!B26</f>
        <v>0</v>
      </c>
      <c r="C32" s="14"/>
      <c r="E32" s="14" t="str">
        <f t="shared" si="0"/>
        <v>*  -&gt; ##34###34#</v>
      </c>
    </row>
    <row r="33" spans="2:5" x14ac:dyDescent="0.75">
      <c r="B33" s="9">
        <f>Report!B27</f>
        <v>0</v>
      </c>
      <c r="E33" s="14" t="str">
        <f t="shared" si="0"/>
        <v>*  -&gt; ##34###34#</v>
      </c>
    </row>
    <row r="34" spans="2:5" x14ac:dyDescent="0.75">
      <c r="B34" s="9">
        <f>Report!B28</f>
        <v>0</v>
      </c>
      <c r="E34" s="14" t="str">
        <f t="shared" si="0"/>
        <v>*  -&gt; ##34###34#</v>
      </c>
    </row>
    <row r="35" spans="2:5" x14ac:dyDescent="0.75">
      <c r="B35" s="9">
        <f>Report!B29</f>
        <v>0</v>
      </c>
      <c r="E35" s="14" t="str">
        <f t="shared" si="0"/>
        <v>*  -&gt; ##34###34#</v>
      </c>
    </row>
    <row r="36" spans="2:5" x14ac:dyDescent="0.75">
      <c r="B36" s="9">
        <f>Report!B30</f>
        <v>0</v>
      </c>
    </row>
    <row r="37" spans="2:5" x14ac:dyDescent="0.75">
      <c r="B37" s="9">
        <f>Report!B31</f>
        <v>0</v>
      </c>
    </row>
    <row r="38" spans="2:5" x14ac:dyDescent="0.75">
      <c r="B38" s="9">
        <f>Report!B32</f>
        <v>0</v>
      </c>
    </row>
    <row r="39" spans="2:5" x14ac:dyDescent="0.75">
      <c r="B39" s="9">
        <f>Report!B35</f>
        <v>0</v>
      </c>
    </row>
    <row r="40" spans="2:5" x14ac:dyDescent="0.75">
      <c r="B40" s="9">
        <f>Report!B36</f>
        <v>0</v>
      </c>
    </row>
    <row r="41" spans="2:5" x14ac:dyDescent="0.75">
      <c r="B41" s="9">
        <f>Report!B37</f>
        <v>0</v>
      </c>
      <c r="E41" s="1" t="s">
        <v>341</v>
      </c>
    </row>
    <row r="42" spans="2:5" x14ac:dyDescent="0.75">
      <c r="B42" s="9">
        <f>Report!B38</f>
        <v>0</v>
      </c>
    </row>
    <row r="43" spans="2:5" x14ac:dyDescent="0.75">
      <c r="B43" s="9">
        <f>Report!B35</f>
        <v>0</v>
      </c>
    </row>
    <row r="44" spans="2:5" x14ac:dyDescent="0.75">
      <c r="B44" s="9">
        <f>Report!B38</f>
        <v>0</v>
      </c>
    </row>
    <row r="45" spans="2:5" x14ac:dyDescent="0.75">
      <c r="B45" s="9">
        <f>Report!B39</f>
        <v>0</v>
      </c>
    </row>
    <row r="46" spans="2:5" x14ac:dyDescent="0.75">
      <c r="B46" s="9">
        <f>Report!B40</f>
        <v>0</v>
      </c>
    </row>
    <row r="47" spans="2:5" x14ac:dyDescent="0.75">
      <c r="B47" s="9">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65"/>
  <sheetViews>
    <sheetView tabSelected="1" workbookViewId="0">
      <selection activeCell="C40" sqref="C40:C65"/>
    </sheetView>
  </sheetViews>
  <sheetFormatPr defaultRowHeight="14.75" x14ac:dyDescent="0.75"/>
  <cols>
    <col min="3" max="3" width="108.2265625" style="14" customWidth="1"/>
    <col min="7" max="7" width="29.54296875" customWidth="1"/>
  </cols>
  <sheetData>
    <row r="1" spans="3:7" ht="15.5" thickBot="1" x14ac:dyDescent="0.9">
      <c r="C1" s="32" t="str">
        <f>Report!I1</f>
        <v>// -------------------------------------------------------------------------------</v>
      </c>
    </row>
    <row r="2" spans="3:7" ht="16.75" thickBot="1" x14ac:dyDescent="0.9">
      <c r="C2" s="33" t="str">
        <f>Report!I2</f>
        <v>//  Logical Model</v>
      </c>
      <c r="G2" s="56" t="s">
        <v>362</v>
      </c>
    </row>
    <row r="3" spans="3:7" x14ac:dyDescent="0.75">
      <c r="C3" s="33" t="str">
        <f>Report!I3</f>
        <v>// -------------------------------------------------------------------------------</v>
      </c>
    </row>
    <row r="4" spans="3:7" x14ac:dyDescent="0.75">
      <c r="C4" s="25" t="str">
        <f>Report!I4</f>
        <v>Logical: LabReportEhn</v>
      </c>
    </row>
    <row r="5" spans="3:7" x14ac:dyDescent="0.75">
      <c r="C5" s="25" t="str">
        <f>Report!I5</f>
        <v>Id: LabReport</v>
      </c>
    </row>
    <row r="6" spans="3:7" x14ac:dyDescent="0.75">
      <c r="C6" s="25" t="str">
        <f>Report!I6</f>
        <v>Title: ##34#Laboratory Report##34#</v>
      </c>
    </row>
    <row r="7" spans="3:7" ht="29.5" x14ac:dyDescent="0.75">
      <c r="C7" s="25" t="str">
        <f>Report!I7</f>
        <v>Description:  ##334#Laboratory Report##334#</v>
      </c>
    </row>
    <row r="8" spans="3:7" ht="29.5" x14ac:dyDescent="0.75">
      <c r="C8" s="14" t="str">
        <f>IF(Report!I8="*  ..  ##34###34# ##334###334#","//--- END",Report!I8)</f>
        <v>* header 1..1 BackboneElement ##34#A.1 Report header data elements##34# ##334#A.1 Report header data elements##334#</v>
      </c>
    </row>
    <row r="9" spans="3:7" x14ac:dyDescent="0.75">
      <c r="C9" s="14" t="str">
        <f>IF(Report!I9="*  ..  ##34###34# ##334###334#","//--- END",Report!I9)</f>
        <v>* header.subject 1..1 http://hl7.eu/fhir/ig/xeh/StructureDefinition/Subject ##34#A.1.1 - A1.2 Patient/subject##34# ##334#A.1.1 Identification of the patient/subject and A.1.2 Patient/subject related contact information  ##334#</v>
      </c>
    </row>
    <row r="10" spans="3:7" x14ac:dyDescent="0.75">
      <c r="C10" s="14" t="str">
        <f>IF(Report!I10="*  ..  ##34###34# ##334###334#","//--- END",Report!I10)</f>
        <v>* header.payer 0..1 http://hl7.eu/fhir/ig/xeh/StructureDefinition/Payer ##34#A.1.3 Health insurance and payment information##34# ##334#A.1.3 Health insurance and payment information##334#</v>
      </c>
    </row>
    <row r="11" spans="3:7" x14ac:dyDescent="0.75">
      <c r="C11" s="14" t="str">
        <f>IF(Report!I11="*  ..  ##34###34# ##334###334#","//--- END",Report!I11)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x14ac:dyDescent="0.75">
      <c r="C12" s="14" t="str">
        <f>IF(Report!I12="*  ..  ##34###34# ##334###334#","//--- END",Report!I12)</f>
        <v>* header.author 0..* http://hl7.eu/fhir/ig/xeh/StructureDefinition/Author ##34#A.1.5 Author##34# ##334#A.1.5 Author (by whom the Laboratory result report or a subset of its results was authored)##334#</v>
      </c>
    </row>
    <row r="13" spans="3:7" x14ac:dyDescent="0.75">
      <c r="C13" s="14" t="str">
        <f>IF(Report!I13="*  ..  ##34###34# ##334###334#","//--- END",Report!I13)</f>
        <v>* header.legalAuthenticator 0..* http://hl7.eu/fhir/ig/xeh/StructureDefinition/LegalAuthenticator ##34#A.1.6 Legal authenticator##34# ##334#A.1.6 Legal authenticator (The person taking responsibility for the medical content of the document)##334#</v>
      </c>
    </row>
    <row r="14" spans="3:7" x14ac:dyDescent="0.75">
      <c r="C14" s="14" t="str">
        <f>IF(Report!I14="*  ..  ##34###34# ##334###334#","//--- END",Report!I14)</f>
        <v>* header.validator 0..* http://hl7.eu/fhir/ig/xeh/StructureDefinition/Validator ##34#A.1.7 Result validator##34# ##334#A.1.7 Result validator##334#</v>
      </c>
    </row>
    <row r="15" spans="3:7" x14ac:dyDescent="0.75">
      <c r="C15" s="14" t="str">
        <f>IF(Report!I15="*  ..  ##34###34# ##334###334#","//--- END",Report!I15)</f>
        <v>* header.metadata 1..1 BackboneElement ##34#A.1.8 Laboratory report metadata##34# ##334#A.1.8 Laboratory report metadata##334#</v>
      </c>
    </row>
    <row r="16" spans="3:7" x14ac:dyDescent="0.75">
      <c r="C16" s="14" t="str">
        <f>IF(Report!I16="*  ..  ##34###34# ##334###334#","//--- END",Report!I16)</f>
        <v>* header.metadata.type 1..1 CodeableConcept ##34#A.1.8.1 Document type##34# ##334#A coded type of the document. Fixed value "Laboratory report" - Preferred system(s): LOINC##334#</v>
      </c>
    </row>
    <row r="17" spans="3:3" x14ac:dyDescent="0.75">
      <c r="C17" s="14" t="str">
        <f>IF(Report!I17="*  ..  ##34###34# ##334###334#","//--- END",Report!I17)</f>
        <v>* header.metadata.status 1..1 CodeableConcept ##34#A.1.8.2 Document status##34# ##334#The status of the laboratory test result report. E.g., preliminary, final. - Preferred system(s): hl7:DiagnosticReportStatus##334#</v>
      </c>
    </row>
    <row r="18" spans="3:3" x14ac:dyDescent="0.75">
      <c r="C18" s="14" t="str">
        <f>IF(Report!I18="*  ..  ##34###34# ##334###334#","//--- END",Report!I18)</f>
        <v>* header.metadata.dateTime 1..1 dateTime ##34#A.1.8.3 Report date and time##34# ##334#Date and time of the result report creation. - Preferred system(s): ISO 8601##334#</v>
      </c>
    </row>
    <row r="19" spans="3:3" x14ac:dyDescent="0.75">
      <c r="C19" s="14" t="str">
        <f>IF(Report!I19="*  ..  ##34###34# ##334###334#","//--- END",Report!I19)</f>
        <v>* header.metadata.title 0..1 string ##34#A.1.8.4 Document title##34# ##334#Document title, e.g. "Laboratory Result report" - Preferred system(s): ##334#</v>
      </c>
    </row>
    <row r="20" spans="3:3" x14ac:dyDescent="0.75">
      <c r="C20" s="14" t="str">
        <f>IF(Report!I20="*  ..  ##34###34# ##334###334#","//--- END",Report!I20)</f>
        <v>* header.metadata.custodian 0..1 BackboneElement ##34#A.1.8.5 Report custodian##34# ##334#Organisation that is in charge of maintaining the laboratory report - Preferred system(s): ##334#</v>
      </c>
    </row>
    <row r="21" spans="3:3" x14ac:dyDescent="0.75">
      <c r="C21" s="14" t="str">
        <f>IF(Report!I21="*  ..  ##34###34# ##334###334#","//--- END",Report!I21)</f>
        <v>* order 0..* http://hl7.eu/fhir/ig/xeh/StructureDefinition/Order ##34#A.2-A.3 Order##34# ##334#A.2 Order information (Laboratory Result Report could respond to multiple test orders)
A.3 Order reason (Laboratory Result Report could respond to multiple reasons)
##334#</v>
      </c>
    </row>
    <row r="22" spans="3:3" x14ac:dyDescent="0.75">
      <c r="C22" s="14" t="str">
        <f>IF(Report!I22="*  ..  ##34###34# ##334###334#","//--- END",Report!I22)</f>
        <v>* specimen 0..* http://hl7.eu/fhir/ig/xeh/StructureDefinition/SpecimenLab ##34#A.4 Specimen information##34# ##334#A.4 Specimen information##334#</v>
      </c>
    </row>
    <row r="23" spans="3:3" x14ac:dyDescent="0.75">
      <c r="C23" s="14" t="str">
        <f>IF(Report!I23="*  ..  ##34###34# ##334###334#","//--- END",Report!I23)</f>
        <v>* result 0..* http://hl7.eu/fhir/ig/xeh/StructureDefinition/Result ##34#A.5 Results data elements##34# ##334#A.5 Results data elements##334#</v>
      </c>
    </row>
    <row r="24" spans="3:3" x14ac:dyDescent="0.75">
      <c r="C24" s="14" t="str">
        <f>IF(Report!I24="*  ..  ##34###34# ##334###334#","//--- END",Report!I24)</f>
        <v>//--- END</v>
      </c>
    </row>
    <row r="25" spans="3:3" x14ac:dyDescent="0.75">
      <c r="C25" s="14" t="str">
        <f>IF(Report!I25="*  ..  ##34###34# ##334###334#","//--- END",Report!I25)</f>
        <v>//--- END</v>
      </c>
    </row>
    <row r="26" spans="3:3" x14ac:dyDescent="0.75">
      <c r="C26" s="14" t="str">
        <f>IF(Report!I26="*  ..  ##34###34# ##334###334#","//--- END",Report!I26)</f>
        <v>//--- END</v>
      </c>
    </row>
    <row r="30" spans="3:3" x14ac:dyDescent="0.75">
      <c r="C30" s="32" t="str">
        <f>'Report-Map-1'!E1</f>
        <v>// -------------------------------------------------------------------------------</v>
      </c>
    </row>
    <row r="31" spans="3:3" x14ac:dyDescent="0.75">
      <c r="C31" s="33" t="str">
        <f>'Report-Map-1'!E2</f>
        <v>//  Map to FHIR R4</v>
      </c>
    </row>
    <row r="32" spans="3:3" x14ac:dyDescent="0.75">
      <c r="C32" s="33" t="str">
        <f>'Report-Map-1'!E3</f>
        <v>// -------------------------------------------------------------------------------</v>
      </c>
    </row>
    <row r="33" spans="3:3" x14ac:dyDescent="0.75">
      <c r="C33" s="14" t="str">
        <f>'Report-Map-1'!E4</f>
        <v>Mapping: eHNLab2Fhir</v>
      </c>
    </row>
    <row r="34" spans="3:3" x14ac:dyDescent="0.75">
      <c r="C34" s="14" t="str">
        <f>'Report-Map-1'!E5</f>
        <v>Id: fhir</v>
      </c>
    </row>
    <row r="35" spans="3:3" x14ac:dyDescent="0.75">
      <c r="C35" s="14" t="str">
        <f>'Report-Map-1'!E6</f>
        <v>Title: ##34#eHN Lab model to FHIR R4 Map##34#</v>
      </c>
    </row>
    <row r="36" spans="3:3" x14ac:dyDescent="0.75">
      <c r="C36" s="14" t="str">
        <f>'Report-Map-1'!E7</f>
        <v>Source: LabReport</v>
      </c>
    </row>
    <row r="37" spans="3:3" x14ac:dyDescent="0.75">
      <c r="C37" s="14" t="str">
        <f>'Report-Map-1'!E8</f>
        <v>Target: ##34#hl7.org/fhir/r4##34#</v>
      </c>
    </row>
    <row r="39" spans="3:3" x14ac:dyDescent="0.75">
      <c r="C39" s="4" t="str">
        <f>'Report-Map-1'!E9</f>
        <v>* -&gt; ##34#Bundle.conformsTo('http://hl7.eu/fhir/ig/xeh/StructureDefinition/Bundle-lab-xeh')##34#</v>
      </c>
    </row>
    <row r="40" spans="3:3" x14ac:dyDescent="0.75">
      <c r="C40" s="14" t="str">
        <f>IF('Report-Map-1'!E10="*  -&gt; ##34###34#","// --END",'Report-Map-1'!E10)</f>
        <v>* header -&gt; ##34#Composition.conformsTo('http://hl7.eu/fhir/ig/xeh/StructureDefinition/Composition-lab-xeh')##34#</v>
      </c>
    </row>
    <row r="41" spans="3:3" x14ac:dyDescent="0.75">
      <c r="C41" s="14" t="str">
        <f>IF('Report-Map-1'!E11="*  -&gt; ##34###34#","// --END",'Report-Map-1'!E11)</f>
        <v>* header.subject -&gt; ##34#Composition.subject##34#</v>
      </c>
    </row>
    <row r="42" spans="3:3" x14ac:dyDescent="0.75">
      <c r="C42" s="14" t="str">
        <f>IF('Report-Map-1'!E12="*  -&gt; ##34###34#","// --END",'Report-Map-1'!E12)</f>
        <v>* header.payer -&gt; ##34#ServiceRequest.conformsTo('http://hl7.eu/fhir/ig/xeh/StructureDefinition/ServiceRequest-lab-xeh').insurance.resolve()##34#</v>
      </c>
    </row>
    <row r="43" spans="3:3" x14ac:dyDescent="0.75">
      <c r="C43" s="14" t="str">
        <f>IF('Report-Map-1'!E13="*  -&gt; ##34###34#","// --END",'Report-Map-1'!E13)</f>
        <v>* header.informationRecipient -&gt; ##34#.extension('http://hl7.org/fhir/StructureDefinition/cqf-receivingOrganization') [TBD}##34#</v>
      </c>
    </row>
    <row r="44" spans="3:3" x14ac:dyDescent="0.75">
      <c r="C44" s="14" t="str">
        <f>IF('Report-Map-1'!E14="*  -&gt; ##34###34#","// --END",'Report-Map-1'!E14)</f>
        <v>* header.author -&gt; ##34#Composition.author##34#</v>
      </c>
    </row>
    <row r="45" spans="3:3" x14ac:dyDescent="0.75">
      <c r="C45" s="14" t="str">
        <f>IF('Report-Map-1'!E15="*  -&gt; ##34###34#","// --END",'Report-Map-1'!E15)</f>
        <v>* header.legalAuthenticator -&gt; ##34#Composition.attester.where(mode=http://hl7.org/fhir/composition-attestation-mode#legal)##34#</v>
      </c>
    </row>
    <row r="46" spans="3:3" x14ac:dyDescent="0.75">
      <c r="C46" s="14" t="str">
        <f>IF('Report-Map-1'!E16="*  -&gt; ##34###34#","// --END",'Report-Map-1'!E16)</f>
        <v>* header.validator -&gt; ##34#Composition.attester.where(mode=http://hl7.org/fhir/composition-attestation-mode#professional)##34#</v>
      </c>
    </row>
    <row r="47" spans="3:3" x14ac:dyDescent="0.75">
      <c r="C47" s="14" t="str">
        <f>IF('Report-Map-1'!E17="*  -&gt; ##34###34#","// --END",'Report-Map-1'!E17)</f>
        <v>* header.metadata -&gt; ##34#Composition##34#</v>
      </c>
    </row>
    <row r="48" spans="3:3" x14ac:dyDescent="0.75">
      <c r="C48" s="14" t="str">
        <f>IF('Report-Map-1'!E18="*  -&gt; ##34###34#","// --END",'Report-Map-1'!E18)</f>
        <v>* header.metadata.type -&gt; ##34#Composition.type##34#</v>
      </c>
    </row>
    <row r="49" spans="3:3" x14ac:dyDescent="0.75">
      <c r="C49" s="14" t="str">
        <f>IF('Report-Map-1'!E19="*  -&gt; ##34###34#","// --END",'Report-Map-1'!E19)</f>
        <v>* header.metadata.status -&gt; ##34#Composition.status##34#</v>
      </c>
    </row>
    <row r="50" spans="3:3" x14ac:dyDescent="0.75">
      <c r="C50" s="14" t="str">
        <f>IF('Report-Map-1'!E20="*  -&gt; ##34###34#","// --END",'Report-Map-1'!E20)</f>
        <v>* header.metadata.dateTime -&gt; ##34#Bundle.timestamp##34#</v>
      </c>
    </row>
    <row r="51" spans="3:3" x14ac:dyDescent="0.75">
      <c r="C51" s="14" t="str">
        <f>IF('Report-Map-1'!E21="*  -&gt; ##34###34#","// --END",'Report-Map-1'!E21)</f>
        <v>* header.metadata.title -&gt; ##34#Composition.title##34#</v>
      </c>
    </row>
    <row r="52" spans="3:3" x14ac:dyDescent="0.75">
      <c r="C52" s="14" t="str">
        <f>IF('Report-Map-1'!E22="*  -&gt; ##34###34#","// --END",'Report-Map-1'!E22)</f>
        <v>* header.metadata.custodian -&gt; ##34#Composition.custodian##34#</v>
      </c>
    </row>
    <row r="53" spans="3:3" x14ac:dyDescent="0.75">
      <c r="C53" s="14" t="str">
        <f>IF('Report-Map-1'!E23="*  -&gt; ##34###34#","// --END",'Report-Map-1'!E23)</f>
        <v>* order -&gt; ##34#Composition.extension('http://hl7.eu/fhir/ig/xeh/StructureDefinition/composition-basedOn-order-or-requisition').valueReference.resolve()##34#</v>
      </c>
    </row>
    <row r="54" spans="3:3" x14ac:dyDescent="0.75">
      <c r="C54" s="14" t="str">
        <f>IF('Report-Map-1'!E24="*  -&gt; ##34###34#","// --END",'Report-Map-1'!E24)</f>
        <v>* order -&gt; ##34#Composition.extension('http://hl7.eu/fhir/ig/xeh/StructureDefinition/composition-basedOn-order-or-requisition').valueIdentifier##34#</v>
      </c>
    </row>
    <row r="55" spans="3:3" x14ac:dyDescent="0.75">
      <c r="C55" s="14" t="str">
        <f>IF('Report-Map-1'!E25="*  -&gt; ##34###34#","// --END",'Report-Map-1'!E25)</f>
        <v>* order -&gt; ##34#DiagnosticReport.conformsTo('http://hl7.eu/fhir/ig/xeh/StructureDefinition/DiagnosticReport-lab-xeh').basedOn.extension('http://hl7.eu/fhir/ig/xeh/StructureDefinition/diagnostic-report-basedOn-requisition').valueIdentifier##34#</v>
      </c>
    </row>
    <row r="56" spans="3:3" x14ac:dyDescent="0.75">
      <c r="C56" s="14" t="str">
        <f>IF('Report-Map-1'!E26="*  -&gt; ##34###34#","// --END",'Report-Map-1'!E26)</f>
        <v>* order -&gt; ##34#DiagnosticReport.conformsTo('http://hl7.eu/fhir/ig/xeh/StructureDefinition/DiagnosticReport-lab-xeh').basedOn.resolve()##34#</v>
      </c>
    </row>
    <row r="57" spans="3:3" x14ac:dyDescent="0.75">
      <c r="C57" s="14" t="str">
        <f>IF('Report-Map-1'!E27="*  -&gt; ##34###34#","// --END",'Report-Map-1'!E27)</f>
        <v>* specimen -&gt; ##34#Observation.conformsTo('http://hl7.eu/fhir/ig/xeh/StructureDefinition/Observation-results-laboratory-eu-xeh').specimen.resolve()##34#</v>
      </c>
    </row>
    <row r="58" spans="3:3" x14ac:dyDescent="0.75">
      <c r="C58" s="14" t="str">
        <f>IF('Report-Map-1'!E28="*  -&gt; ##34###34#","// --END",'Report-Map-1'!E28)</f>
        <v>* specimen -&gt; ##34#DiagnosticReport.conformsTo('http://hl7.eu/fhir/ig/xeh/StructureDefinition/DiagnosticReport-lab-xeh').specimen.resolve()##34#</v>
      </c>
    </row>
    <row r="59" spans="3:3" x14ac:dyDescent="0.75">
      <c r="C59" s="14" t="str">
        <f>IF('Report-Map-1'!E29="*  -&gt; ##34###34#","// --END",'Report-Map-1'!E29)</f>
        <v>* result -&gt; ##34#Composition.section:no-subsections.entry.resolve()##34#</v>
      </c>
    </row>
    <row r="60" spans="3:3" x14ac:dyDescent="0.75">
      <c r="C60" s="14" t="str">
        <f>IF('Report-Map-1'!E30="*  -&gt; ##34###34#","// --END",'Report-Map-1'!E30)</f>
        <v>* result -&gt; ##34#Composition.section:subsections.section.entry.resolve()##34#</v>
      </c>
    </row>
    <row r="61" spans="3:3" x14ac:dyDescent="0.75">
      <c r="C61" s="14" t="str">
        <f>IF('Report-Map-1'!E31="*  -&gt; ##34###34#","// --END",'Report-Map-1'!E31)</f>
        <v>* result -&gt; ##34#DiagnosticReport.conformsTo('http://hl7.eu/fhir/ig/xeh/StructureDefinition/DiagnosticReport-lab-xeh').result.resolve()##34#</v>
      </c>
    </row>
    <row r="62" spans="3:3" x14ac:dyDescent="0.75">
      <c r="C62" s="14" t="str">
        <f>IF('Report-Map-1'!E32="*  -&gt; ##34###34#","// --END",'Report-Map-1'!E32)</f>
        <v>// --END</v>
      </c>
    </row>
    <row r="63" spans="3:3" x14ac:dyDescent="0.75">
      <c r="C63" s="14" t="str">
        <f>IF('Report-Map-1'!E33="*  -&gt; ##34###34#","// --END",'Report-Map-1'!E33)</f>
        <v>// --END</v>
      </c>
    </row>
    <row r="64" spans="3:3" x14ac:dyDescent="0.75">
      <c r="C64" s="14" t="str">
        <f>IF('Report-Map-1'!E34="*  -&gt; ##34###34#","// --END",'Report-Map-1'!E34)</f>
        <v>// --END</v>
      </c>
    </row>
    <row r="65" spans="3:3" x14ac:dyDescent="0.75">
      <c r="C65" s="14" t="str">
        <f>IF('Report-Map-1'!E35="*  -&gt; ##34###34#","// --END",'Report-Map-1'!E35)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14" sqref="B1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286</v>
      </c>
      <c r="I4" s="25" t="str">
        <f>CONCATENATE("Logical: ",B4)</f>
        <v>Logical: SubjectLabEhn</v>
      </c>
    </row>
    <row r="5" spans="1:11" x14ac:dyDescent="0.75">
      <c r="A5" s="18" t="s">
        <v>19</v>
      </c>
      <c r="B5" s="34" t="s">
        <v>12</v>
      </c>
      <c r="I5" s="25" t="str">
        <f>CONCATENATE("Id: ",B5)</f>
        <v>Id: Subject</v>
      </c>
    </row>
    <row r="6" spans="1:11" x14ac:dyDescent="0.75">
      <c r="A6" s="18" t="s">
        <v>13</v>
      </c>
      <c r="B6" s="19" t="s">
        <v>433</v>
      </c>
      <c r="I6" s="26" t="str">
        <f>CONCATENATE("Title: ##34#",B6,"##34#")</f>
        <v>Title: ##34#Subject of care (A1.1 - A1.2)##34#</v>
      </c>
    </row>
    <row r="7" spans="1:11" ht="15.5" thickBot="1" x14ac:dyDescent="0.9">
      <c r="A7" s="20" t="s">
        <v>5</v>
      </c>
      <c r="B7" s="21" t="s">
        <v>287</v>
      </c>
      <c r="C7" s="12" t="s">
        <v>6</v>
      </c>
      <c r="D7" s="2" t="s">
        <v>7</v>
      </c>
      <c r="E7" s="3" t="s">
        <v>8</v>
      </c>
      <c r="F7" s="3" t="s">
        <v>9</v>
      </c>
      <c r="G7" s="3" t="s">
        <v>10</v>
      </c>
      <c r="I7" s="26" t="str">
        <f>CONCATENATE("Description: "," ##334#",B7,"##334#",)</f>
        <v>Description:  ##334#Patient or Subject of care##334#</v>
      </c>
    </row>
    <row r="8" spans="1:11" ht="29.5" x14ac:dyDescent="0.75">
      <c r="A8" s="9">
        <v>1</v>
      </c>
      <c r="B8" s="9" t="s">
        <v>292</v>
      </c>
      <c r="C8" s="16" t="s">
        <v>309</v>
      </c>
      <c r="D8" s="14" t="s">
        <v>309</v>
      </c>
      <c r="E8" s="9">
        <v>1</v>
      </c>
      <c r="F8" s="9">
        <v>1</v>
      </c>
      <c r="G8" s="9" t="s">
        <v>4</v>
      </c>
      <c r="H8" s="23"/>
      <c r="I8" s="14" t="str">
        <f>CONCATENATE("* ",B8, " ",E8,"..",F8," ",G8," ##34#",C8,"##34# ##334#",D8,"##334#")</f>
        <v>* identification 1..1 BackboneElement ##34#A.1.1 Identification of the patient/subject##34# ##334#A.1.1 Identification of the patient/subject##334#</v>
      </c>
    </row>
    <row r="9" spans="1:11" ht="29.5" x14ac:dyDescent="0.75">
      <c r="A9" s="9">
        <v>2</v>
      </c>
      <c r="B9" s="9" t="s">
        <v>294</v>
      </c>
      <c r="C9" s="16" t="s">
        <v>308</v>
      </c>
      <c r="D9" s="14" t="s">
        <v>293</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295</v>
      </c>
      <c r="C10" s="16" t="s">
        <v>529</v>
      </c>
      <c r="D10" s="14" t="s">
        <v>310</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296</v>
      </c>
      <c r="C11" s="16" t="s">
        <v>530</v>
      </c>
      <c r="D11" s="14" t="s">
        <v>311</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297</v>
      </c>
      <c r="C12" s="9" t="s">
        <v>531</v>
      </c>
      <c r="D12" s="14" t="s">
        <v>312</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298</v>
      </c>
      <c r="C13" s="16" t="s">
        <v>288</v>
      </c>
      <c r="D13" s="14" t="s">
        <v>313</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641</v>
      </c>
      <c r="C14" s="16" t="s">
        <v>563</v>
      </c>
      <c r="D14" s="52" t="s">
        <v>563</v>
      </c>
      <c r="E14" s="9">
        <v>0</v>
      </c>
      <c r="F14" s="9" t="s">
        <v>11</v>
      </c>
      <c r="G14" s="9" t="s">
        <v>4</v>
      </c>
      <c r="H14" s="23"/>
      <c r="I14" s="14" t="str">
        <f t="shared" si="0"/>
        <v>* addressTelecom 0..* BackboneElement ##34#A.1.2 Patient/subject related contact information##34# ##334#A.1.2 Patient/subject related contact information##334#</v>
      </c>
    </row>
    <row r="15" spans="1:11" ht="73.75" x14ac:dyDescent="0.75">
      <c r="A15" s="9">
        <v>8</v>
      </c>
      <c r="B15" s="9" t="s">
        <v>642</v>
      </c>
      <c r="C15" s="9" t="s">
        <v>289</v>
      </c>
      <c r="D15" s="14" t="s">
        <v>314</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643</v>
      </c>
      <c r="C16" s="9" t="s">
        <v>290</v>
      </c>
      <c r="D16" s="14" t="s">
        <v>291</v>
      </c>
      <c r="E16" s="9">
        <v>0</v>
      </c>
      <c r="F16" s="9" t="s">
        <v>11</v>
      </c>
      <c r="G16" s="53" t="s">
        <v>325</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309</v>
      </c>
      <c r="D23" s="49" t="s">
        <v>309</v>
      </c>
      <c r="E23" s="50"/>
      <c r="F23" s="51"/>
      <c r="I23"/>
    </row>
    <row r="24" spans="2:9" ht="256.75" thickBot="1" x14ac:dyDescent="0.9">
      <c r="B24" t="str">
        <f t="shared" si="1"/>
        <v>A.1.1.1 Family name/surname</v>
      </c>
      <c r="C24" s="36" t="s">
        <v>44</v>
      </c>
      <c r="D24" s="37" t="s">
        <v>45</v>
      </c>
      <c r="E24" s="37" t="s">
        <v>315</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56.75" thickBot="1" x14ac:dyDescent="0.9">
      <c r="B25" t="str">
        <f t="shared" si="1"/>
        <v xml:space="preserve">A.1.1.2 Given name </v>
      </c>
      <c r="C25" s="36" t="s">
        <v>47</v>
      </c>
      <c r="D25" s="37" t="s">
        <v>316</v>
      </c>
      <c r="E25" s="37" t="s">
        <v>317</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318</v>
      </c>
      <c r="E26" s="37" t="s">
        <v>52</v>
      </c>
      <c r="F26" s="39" t="s">
        <v>319</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320</v>
      </c>
      <c r="E27" s="37" t="s">
        <v>321</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73" t="s">
        <v>57</v>
      </c>
      <c r="D28" s="73" t="s">
        <v>58</v>
      </c>
      <c r="E28" s="40" t="s">
        <v>59</v>
      </c>
      <c r="F28" s="76" t="s">
        <v>322</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74"/>
      <c r="D29" s="74"/>
      <c r="E29" s="41"/>
      <c r="F29" s="77"/>
      <c r="I29" s="1" t="str">
        <f t="shared" si="2"/>
        <v xml:space="preserve"> - Preferred system(s): </v>
      </c>
    </row>
    <row r="30" spans="2:9" ht="30.25" customHeight="1" thickBot="1" x14ac:dyDescent="0.9">
      <c r="B30" t="str">
        <f t="shared" si="1"/>
        <v xml:space="preserve"> </v>
      </c>
      <c r="C30" s="75"/>
      <c r="D30" s="75"/>
      <c r="E30" s="37" t="s">
        <v>61</v>
      </c>
      <c r="F30" s="78"/>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79" t="s">
        <v>323</v>
      </c>
      <c r="D31" s="80"/>
      <c r="E31" s="80"/>
      <c r="F31" s="81"/>
      <c r="I31" s="1" t="str">
        <f t="shared" si="2"/>
        <v xml:space="preserve"> - Preferred system(s): </v>
      </c>
    </row>
    <row r="32" spans="2:9" ht="409.6" thickBot="1" x14ac:dyDescent="0.9">
      <c r="B32" t="str">
        <f t="shared" si="1"/>
        <v>A.1.2.1 Address</v>
      </c>
      <c r="C32" s="36" t="s">
        <v>63</v>
      </c>
      <c r="D32" s="37" t="s">
        <v>64</v>
      </c>
      <c r="E32" s="37" t="s">
        <v>65</v>
      </c>
      <c r="F32" s="39" t="s">
        <v>324</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6" sqref="C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327</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356</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Subj!B5</f>
        <v>Subject</v>
      </c>
      <c r="C9" s="8" t="s">
        <v>299</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300</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301</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302</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303</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304</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306</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304</v>
      </c>
      <c r="E17" s="14" t="str">
        <f t="shared" si="0"/>
        <v>* addressTelecom.address -&gt; ##34#Patient.gender##34#</v>
      </c>
      <c r="G17" s="1" t="s">
        <v>32</v>
      </c>
    </row>
    <row r="18" spans="1:7" x14ac:dyDescent="0.75">
      <c r="A18" s="9"/>
      <c r="B18" s="9" t="str">
        <f>Subj!B16</f>
        <v>addressTelecom.telecom</v>
      </c>
      <c r="C18" s="9" t="s">
        <v>305</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election activeCell="A61" sqref="A61:G206"/>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361</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ht="29.5"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307</v>
      </c>
    </row>
    <row r="11" spans="3:7" ht="29.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PayerLabEhn</v>
      </c>
    </row>
    <row r="5" spans="1:11" x14ac:dyDescent="0.75">
      <c r="A5" s="18" t="s">
        <v>19</v>
      </c>
      <c r="B5" s="34" t="s">
        <v>358</v>
      </c>
      <c r="I5" s="25" t="str">
        <f>CONCATENATE("Id: ",B5)</f>
        <v>Id: Payer</v>
      </c>
    </row>
    <row r="6" spans="1:11" x14ac:dyDescent="0.75">
      <c r="A6" s="18" t="s">
        <v>13</v>
      </c>
      <c r="B6" s="19" t="s">
        <v>532</v>
      </c>
      <c r="I6" s="26" t="str">
        <f>CONCATENATE("Title: ##34#",B6,"##34#")</f>
        <v>Title: ##34#Health insurance and payment information (A.1.3)##34#</v>
      </c>
    </row>
    <row r="7" spans="1:11" ht="15.5" customHeight="1" thickBot="1" x14ac:dyDescent="0.9">
      <c r="A7" s="20" t="s">
        <v>5</v>
      </c>
      <c r="B7" s="21" t="s">
        <v>331</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346</v>
      </c>
      <c r="C8" t="s">
        <v>342</v>
      </c>
      <c r="D8" s="14" t="s">
        <v>392</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350</v>
      </c>
      <c r="C9" t="s">
        <v>343</v>
      </c>
      <c r="D9" s="14" t="s">
        <v>347</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44.25" x14ac:dyDescent="0.75">
      <c r="A10" s="9">
        <v>3</v>
      </c>
      <c r="B10" s="9" t="s">
        <v>351</v>
      </c>
      <c r="C10" t="s">
        <v>344</v>
      </c>
      <c r="D10" s="14" t="s">
        <v>348</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352</v>
      </c>
      <c r="C11" t="s">
        <v>345</v>
      </c>
      <c r="D11" s="14" t="s">
        <v>349</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79" t="s">
        <v>331</v>
      </c>
      <c r="D23" s="80"/>
      <c r="E23" s="80"/>
      <c r="F23" s="81"/>
      <c r="I23"/>
    </row>
    <row r="24" spans="2:9" ht="400.75" thickBot="1" x14ac:dyDescent="0.9">
      <c r="B24" t="str">
        <f t="shared" si="1"/>
        <v>A.1.3.1 Health insurance information</v>
      </c>
      <c r="C24" s="36" t="s">
        <v>71</v>
      </c>
      <c r="D24" s="39" t="s">
        <v>72</v>
      </c>
      <c r="E24" s="37" t="s">
        <v>393</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355</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357</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639</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568</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573</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574</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569</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570</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572</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571</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election activeCell="C50" sqref="C50:D5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360</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307</v>
      </c>
    </row>
    <row r="11" spans="3:7" ht="44.2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zoomScale="130" zoomScaleNormal="130" workbookViewId="0">
      <selection activeCell="D10" sqref="D10"/>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364</v>
      </c>
      <c r="I4" s="25" t="str">
        <f>CONCATENATE("Logical: ",B4)</f>
        <v>Logical: RecipientLabEhn</v>
      </c>
    </row>
    <row r="5" spans="1:11" x14ac:dyDescent="0.75">
      <c r="A5" s="18" t="s">
        <v>19</v>
      </c>
      <c r="B5" s="34" t="s">
        <v>400</v>
      </c>
      <c r="I5" s="25" t="str">
        <f>CONCATENATE("Id: ",B5)</f>
        <v>Id: Recipient</v>
      </c>
    </row>
    <row r="6" spans="1:11" x14ac:dyDescent="0.75">
      <c r="A6" s="18" t="s">
        <v>13</v>
      </c>
      <c r="B6" s="19" t="s">
        <v>434</v>
      </c>
      <c r="I6" s="26" t="str">
        <f>CONCATENATE("Title: ##34#",B6,"##34#")</f>
        <v>Title: ##34#Information recipient (A.1.4)##34#</v>
      </c>
    </row>
    <row r="7" spans="1:11" ht="44.25" x14ac:dyDescent="0.75">
      <c r="A7" s="46" t="s">
        <v>5</v>
      </c>
      <c r="B7" s="58" t="s">
        <v>332</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367</v>
      </c>
      <c r="C8" s="9" t="s">
        <v>365</v>
      </c>
      <c r="D8" s="14" t="s">
        <v>536</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368</v>
      </c>
      <c r="C9" s="9" t="s">
        <v>366</v>
      </c>
      <c r="D9" s="14" t="s">
        <v>89</v>
      </c>
      <c r="E9" s="9">
        <v>0</v>
      </c>
      <c r="F9" s="9" t="s">
        <v>11</v>
      </c>
      <c r="G9" s="9" t="s">
        <v>414</v>
      </c>
      <c r="H9" s="23"/>
      <c r="I9" s="14" t="str">
        <f t="shared" ref="I9:I14" si="0">CONCATENATE("* ",B9, " ",E9,"..",F9," ",G9," ##34#",C9,"##34# ##334#",D9,"##334#")</f>
        <v>* name 0..* HumanName ##34#A.1.4.2 Recipient name##34# ##334#Person name.##334#</v>
      </c>
    </row>
    <row r="10" spans="1:11" ht="30.25" customHeight="1" x14ac:dyDescent="0.75">
      <c r="A10" s="9">
        <v>3</v>
      </c>
      <c r="B10" s="9" t="s">
        <v>369</v>
      </c>
      <c r="C10" s="9" t="s">
        <v>533</v>
      </c>
      <c r="D10" s="14" t="s">
        <v>92</v>
      </c>
      <c r="E10" s="9">
        <v>0</v>
      </c>
      <c r="F10" s="9" t="s">
        <v>11</v>
      </c>
      <c r="G10" s="9" t="s">
        <v>370</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79" t="s">
        <v>332</v>
      </c>
      <c r="D26" s="80"/>
      <c r="E26" s="80"/>
      <c r="F26" s="81"/>
    </row>
    <row r="27" spans="2:9" ht="409.6" thickBot="1" x14ac:dyDescent="0.9">
      <c r="B27" t="str">
        <f t="shared" ref="B27:B29" si="2">CONCATENATE(C27," ",D27)</f>
        <v>A.1.4.1 Recipient identifier</v>
      </c>
      <c r="C27" s="36" t="s">
        <v>84</v>
      </c>
      <c r="D27" s="37" t="s">
        <v>85</v>
      </c>
      <c r="E27" s="37" t="s">
        <v>534</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535</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G1" sqref="G1:G104857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371</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372</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370</v>
      </c>
      <c r="E9" s="4" t="str">
        <f>CONCATENATE("* -&gt; ##34#",C9,"##34#")</f>
        <v>* -&gt; ##34#Organization##34#</v>
      </c>
      <c r="H9" s="10"/>
      <c r="I9" s="10"/>
      <c r="J9" s="10"/>
      <c r="K9" s="10"/>
      <c r="L9" s="10"/>
      <c r="M9" s="10"/>
      <c r="N9" s="10"/>
      <c r="O9" s="10"/>
    </row>
    <row r="10" spans="1:15" x14ac:dyDescent="0.75">
      <c r="A10" s="9"/>
      <c r="B10" s="9" t="str">
        <f>'A1.4 Recipient'!$B$5</f>
        <v>Recipient</v>
      </c>
      <c r="C10" s="8" t="s">
        <v>576</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575</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578</v>
      </c>
      <c r="E13" s="4" t="str">
        <f t="shared" si="0"/>
        <v>* -&gt; ##34#RelatedPerson##34#</v>
      </c>
      <c r="H13" s="10"/>
      <c r="I13" s="10"/>
      <c r="J13" s="10"/>
      <c r="K13" s="10"/>
      <c r="L13" s="10"/>
      <c r="M13" s="10"/>
      <c r="N13" s="10"/>
      <c r="O13" s="10"/>
    </row>
    <row r="14" spans="1:15" x14ac:dyDescent="0.75">
      <c r="A14" s="9"/>
      <c r="B14" s="9" t="str">
        <f>'A1.4 Recipient'!B8</f>
        <v>identifier</v>
      </c>
      <c r="C14" s="9" t="s">
        <v>577</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579</v>
      </c>
      <c r="E15" s="14" t="str">
        <f t="shared" si="1"/>
        <v>* name -&gt; ##34#Organization.name##34#</v>
      </c>
      <c r="G15" s="1"/>
      <c r="H15" s="10"/>
      <c r="I15" s="10"/>
      <c r="J15" s="10"/>
      <c r="K15" s="10"/>
      <c r="L15" s="10"/>
      <c r="M15" s="10"/>
      <c r="N15" s="10"/>
      <c r="O15" s="10"/>
    </row>
    <row r="16" spans="1:15" x14ac:dyDescent="0.75">
      <c r="A16" s="9"/>
      <c r="B16" s="9" t="str">
        <f>'A1.4 Recipient'!$B$9</f>
        <v>name</v>
      </c>
      <c r="C16" s="8" t="s">
        <v>583</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582</v>
      </c>
      <c r="E17" s="14" t="str">
        <f t="shared" si="1"/>
        <v>* name -&gt; ##34#Practictioner.name##34#</v>
      </c>
      <c r="G17" s="1"/>
      <c r="H17" s="10"/>
      <c r="I17" s="10"/>
      <c r="J17" s="10"/>
      <c r="K17" s="10"/>
      <c r="L17" s="10"/>
      <c r="M17" s="10"/>
      <c r="N17" s="10"/>
      <c r="O17" s="10"/>
    </row>
    <row r="18" spans="1:15" x14ac:dyDescent="0.75">
      <c r="A18" s="9"/>
      <c r="B18" s="9" t="str">
        <f>'A1.4 Recipient'!$B$9</f>
        <v>name</v>
      </c>
      <c r="C18" s="8" t="s">
        <v>580</v>
      </c>
      <c r="E18" s="14" t="str">
        <f t="shared" si="1"/>
        <v>* name -&gt; ##34#Patientn.name##34#</v>
      </c>
      <c r="G18" s="1"/>
      <c r="H18" s="10"/>
      <c r="I18" s="10"/>
      <c r="J18" s="10"/>
      <c r="K18" s="10"/>
      <c r="L18" s="10"/>
      <c r="M18" s="10"/>
      <c r="N18" s="10"/>
      <c r="O18" s="10"/>
    </row>
    <row r="19" spans="1:15" x14ac:dyDescent="0.75">
      <c r="A19" s="9"/>
      <c r="B19" s="9" t="str">
        <f>'A1.4 Recipient'!$B$9</f>
        <v>name</v>
      </c>
      <c r="C19" s="8" t="s">
        <v>581</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584</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election activeCell="G51" sqref="G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373</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ht="29.5"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307</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D8" sqref="D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410</v>
      </c>
      <c r="I4" s="25" t="str">
        <f>CONCATENATE("Logical: ",B4)</f>
        <v>Logical: AuthorLabEhn</v>
      </c>
    </row>
    <row r="5" spans="1:11" x14ac:dyDescent="0.75">
      <c r="A5" s="18" t="s">
        <v>19</v>
      </c>
      <c r="B5" s="34" t="s">
        <v>411</v>
      </c>
      <c r="I5" s="25" t="str">
        <f>CONCATENATE("Id: ",B5)</f>
        <v>Id: Author</v>
      </c>
    </row>
    <row r="6" spans="1:11" x14ac:dyDescent="0.75">
      <c r="A6" s="18" t="s">
        <v>13</v>
      </c>
      <c r="B6" s="19" t="s">
        <v>435</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367</v>
      </c>
      <c r="C8" s="9" t="s">
        <v>403</v>
      </c>
      <c r="D8" s="14" t="s">
        <v>538</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404</v>
      </c>
      <c r="D9" s="14" t="s">
        <v>405</v>
      </c>
      <c r="E9" s="9">
        <v>0</v>
      </c>
      <c r="F9" s="9" t="s">
        <v>11</v>
      </c>
      <c r="G9" s="9" t="s">
        <v>414</v>
      </c>
      <c r="H9" s="23"/>
      <c r="I9" s="14" t="str">
        <f t="shared" ref="I9:I14" si="0">CONCATENATE("* ",B9, " ",E9,"..",F9," ",G9," ##34#",C9,"##34# ##334#",D9,"##334#")</f>
        <v>* name 0..* HumanName ##34#A.1.5.2 Author name##34# ##334#Person or device name. - Preferred system(s): ##334#</v>
      </c>
    </row>
    <row r="10" spans="1:11" ht="30.25" customHeight="1" x14ac:dyDescent="0.75">
      <c r="A10" s="9">
        <v>3</v>
      </c>
      <c r="B10" s="9" t="s">
        <v>369</v>
      </c>
      <c r="C10" s="9" t="s">
        <v>537</v>
      </c>
      <c r="D10" s="14" t="s">
        <v>386</v>
      </c>
      <c r="E10" s="9">
        <v>0</v>
      </c>
      <c r="F10" s="9" t="s">
        <v>11</v>
      </c>
      <c r="G10" s="9" t="s">
        <v>370</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79" t="s">
        <v>93</v>
      </c>
      <c r="D26" s="80"/>
      <c r="E26" s="80"/>
      <c r="F26" s="81"/>
    </row>
    <row r="27" spans="2:9" ht="409.6" thickBot="1" x14ac:dyDescent="0.9">
      <c r="B27" t="str">
        <f t="shared" ref="B27:B29" si="2">CONCATENATE(C27," ",D27)</f>
        <v>A.1.5.1 Author identifier</v>
      </c>
      <c r="C27" s="36" t="s">
        <v>94</v>
      </c>
      <c r="D27" s="37" t="s">
        <v>95</v>
      </c>
      <c r="E27" s="37" t="s">
        <v>539</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540</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10" sqref="C10:C13"/>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413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585</v>
      </c>
      <c r="E9" s="4" t="str">
        <f>CONCATENATE("* -&gt; ##34#",C9,"##34#")</f>
        <v>* -&gt; ##34#Composition.author.resolve()##34#</v>
      </c>
      <c r="H9" s="10"/>
      <c r="I9" s="10"/>
      <c r="J9" s="10"/>
      <c r="K9" s="10"/>
      <c r="L9" s="10"/>
      <c r="M9" s="10"/>
      <c r="N9" s="10"/>
      <c r="O9" s="10"/>
    </row>
    <row r="10" spans="1:15" ht="44.25" x14ac:dyDescent="0.75">
      <c r="A10" s="9"/>
      <c r="B10" s="62" t="str">
        <f>'A1.5 Author'!$B$8</f>
        <v>identifier</v>
      </c>
      <c r="C10" s="9" t="s">
        <v>586</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44.25" x14ac:dyDescent="0.75">
      <c r="A11" s="9"/>
      <c r="B11" s="62" t="str">
        <f>'A1.5 Author'!$B$8</f>
        <v>identifier</v>
      </c>
      <c r="C11" s="9" t="s">
        <v>587</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588</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589</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48" sqref="C48: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406</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ht="29.5"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D2" sqref="D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388</v>
      </c>
      <c r="I4" s="25" t="str">
        <f>CONCATENATE("Logical: ",B4)</f>
        <v>Logical: LegalAuthenticatorLabEhn</v>
      </c>
    </row>
    <row r="5" spans="1:11" x14ac:dyDescent="0.75">
      <c r="A5" s="18" t="s">
        <v>19</v>
      </c>
      <c r="B5" s="34" t="s">
        <v>399</v>
      </c>
      <c r="I5" s="25" t="str">
        <f>CONCATENATE("Id: ",B5)</f>
        <v>Id: LegalAuthenticator</v>
      </c>
    </row>
    <row r="6" spans="1:11" x14ac:dyDescent="0.75">
      <c r="A6" s="18" t="s">
        <v>13</v>
      </c>
      <c r="B6" s="19" t="s">
        <v>436</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367</v>
      </c>
      <c r="C8" s="9" t="s">
        <v>383</v>
      </c>
      <c r="D8" s="14" t="s">
        <v>542</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384</v>
      </c>
      <c r="D9" s="14" t="s">
        <v>379</v>
      </c>
      <c r="E9" s="9">
        <v>0</v>
      </c>
      <c r="F9" s="9" t="s">
        <v>11</v>
      </c>
      <c r="G9" s="9" t="s">
        <v>414</v>
      </c>
      <c r="H9" s="23"/>
      <c r="I9" s="14" t="str">
        <f t="shared" ref="I9:I14" si="0">CONCATENATE("* ",B9, " ",E9,"..",F9," ",G9," ##34#",C9,"##34# ##334#",D9,"##334#")</f>
        <v>* name 0..* HumanName ##34#A.1.6.2 Legal authenticator name##34# ##334#Person name. - Preferred system(s): ##334#</v>
      </c>
    </row>
    <row r="10" spans="1:11" ht="30.25" customHeight="1" x14ac:dyDescent="0.75">
      <c r="A10" s="9">
        <v>3</v>
      </c>
      <c r="B10" s="9" t="s">
        <v>369</v>
      </c>
      <c r="C10" s="9" t="s">
        <v>541</v>
      </c>
      <c r="D10" s="14" t="s">
        <v>386</v>
      </c>
      <c r="E10" s="9">
        <v>0</v>
      </c>
      <c r="F10" s="9" t="s">
        <v>11</v>
      </c>
      <c r="G10" s="9" t="s">
        <v>370</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385</v>
      </c>
      <c r="D11" s="60" t="s">
        <v>387</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79" t="s">
        <v>102</v>
      </c>
      <c r="D26" s="80"/>
      <c r="E26" s="80"/>
      <c r="F26" s="81"/>
    </row>
    <row r="27" spans="2:9" ht="384.75" customHeight="1" thickBot="1" x14ac:dyDescent="0.9">
      <c r="B27" t="str">
        <f t="shared" ref="B27:B30" si="2">CONCATENATE(C27," ",D27)</f>
        <v>A.1.6.1 Legal authenticator identifier</v>
      </c>
      <c r="C27" s="36" t="s">
        <v>103</v>
      </c>
      <c r="D27" s="39" t="s">
        <v>104</v>
      </c>
      <c r="E27" s="37" t="s">
        <v>543</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544</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election activeCell="C10" sqref="C10:C14"/>
    </sheetView>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389</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390</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408</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590</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591</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592</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593</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594</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595</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586</v>
      </c>
    </row>
    <row r="31" spans="1:15" x14ac:dyDescent="0.75">
      <c r="C31" s="9" t="s">
        <v>587</v>
      </c>
      <c r="E31" s="22"/>
    </row>
    <row r="32" spans="1:15" x14ac:dyDescent="0.75">
      <c r="C32" s="9" t="s">
        <v>588</v>
      </c>
    </row>
    <row r="33" spans="3:3" x14ac:dyDescent="0.75">
      <c r="C33" s="9" t="s">
        <v>589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G11" sqref="G1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391</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374</v>
      </c>
      <c r="I4" s="25" t="str">
        <f>CONCATENATE("Logical: ",B4)</f>
        <v>Logical: ValidatorLabEhn</v>
      </c>
    </row>
    <row r="5" spans="1:11" x14ac:dyDescent="0.75">
      <c r="A5" s="18" t="s">
        <v>19</v>
      </c>
      <c r="B5" s="34" t="s">
        <v>415</v>
      </c>
      <c r="I5" s="25" t="str">
        <f>CONCATENATE("Id: ",B5)</f>
        <v>Id: Validator</v>
      </c>
    </row>
    <row r="6" spans="1:11" x14ac:dyDescent="0.75">
      <c r="A6" s="18" t="s">
        <v>13</v>
      </c>
      <c r="B6" s="19" t="s">
        <v>640</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367</v>
      </c>
      <c r="C8" s="9" t="s">
        <v>377</v>
      </c>
      <c r="D8" s="14" t="s">
        <v>545</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368</v>
      </c>
      <c r="C9" s="9" t="s">
        <v>546</v>
      </c>
      <c r="D9" s="14" t="s">
        <v>379</v>
      </c>
      <c r="E9" s="9">
        <v>0</v>
      </c>
      <c r="F9" s="9" t="s">
        <v>11</v>
      </c>
      <c r="G9" s="9" t="s">
        <v>414</v>
      </c>
      <c r="H9" s="23"/>
      <c r="I9" s="14" t="str">
        <f t="shared" ref="I9:I14" si="0">CONCATENATE("* ",B9, " ",E9,"..",F9," ",G9," ##34#",C9,"##34# ##334#",D9,"##334#")</f>
        <v>* name 0..* HumanName ##34#A.1.7.2 Result validator name##34# ##334#Person name. - Preferred system(s): ##334#</v>
      </c>
    </row>
    <row r="10" spans="1:11" ht="30.25" customHeight="1" x14ac:dyDescent="0.75">
      <c r="A10" s="9">
        <v>3</v>
      </c>
      <c r="B10" s="9" t="s">
        <v>369</v>
      </c>
      <c r="C10" s="9" t="s">
        <v>550</v>
      </c>
      <c r="D10" s="14" t="s">
        <v>380</v>
      </c>
      <c r="E10" s="9">
        <v>0</v>
      </c>
      <c r="F10" s="9" t="s">
        <v>11</v>
      </c>
      <c r="G10" s="9" t="s">
        <v>370</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378</v>
      </c>
      <c r="D11" s="60" t="s">
        <v>381</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79" t="s">
        <v>114</v>
      </c>
      <c r="D26" s="80"/>
      <c r="E26" s="80"/>
      <c r="F26" s="81"/>
    </row>
    <row r="27" spans="2:9" ht="384.75" thickBot="1" x14ac:dyDescent="0.9">
      <c r="B27" t="str">
        <f t="shared" ref="B27:B30" si="2">CONCATENATE(C27," ",D27)</f>
        <v>A.1.7.1 Result validator identifier</v>
      </c>
      <c r="C27" s="36" t="s">
        <v>115</v>
      </c>
      <c r="D27" s="39" t="s">
        <v>116</v>
      </c>
      <c r="E27" s="37" t="s">
        <v>547</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548</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549</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sqref="A1:XFD104857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375</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376</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409</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590</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591</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592</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593</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594</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595</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U6" sqref="U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382</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ht="29.5"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307</v>
      </c>
    </row>
    <row r="11" spans="3:7"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zoomScaleNormal="100" workbookViewId="0">
      <selection activeCell="D10" sqref="D10"/>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424</v>
      </c>
      <c r="I4" s="25" t="str">
        <f>CONCATENATE("Logical: ",B4)</f>
        <v>Logical: OrderLabEhn</v>
      </c>
    </row>
    <row r="5" spans="1:11" x14ac:dyDescent="0.75">
      <c r="A5" s="18" t="s">
        <v>19</v>
      </c>
      <c r="B5" s="34" t="s">
        <v>230</v>
      </c>
      <c r="I5" s="25" t="str">
        <f>CONCATENATE("Id: ",B5)</f>
        <v>Id: Order</v>
      </c>
    </row>
    <row r="6" spans="1:11" x14ac:dyDescent="0.75">
      <c r="A6" s="18" t="s">
        <v>13</v>
      </c>
      <c r="B6" s="19" t="s">
        <v>427</v>
      </c>
      <c r="I6" s="26" t="str">
        <f>CONCATENATE("Title: ##34#",B6,"##34#")</f>
        <v>Title: ##34#Order (A2, A3)##34#</v>
      </c>
    </row>
    <row r="7" spans="1:11" x14ac:dyDescent="0.75">
      <c r="A7" s="46" t="s">
        <v>5</v>
      </c>
      <c r="B7" s="19" t="s">
        <v>428</v>
      </c>
      <c r="C7" s="12"/>
      <c r="D7" s="2"/>
      <c r="E7" s="57"/>
      <c r="F7" s="3" t="s">
        <v>9</v>
      </c>
      <c r="G7" s="3" t="s">
        <v>10</v>
      </c>
      <c r="I7" s="26" t="str">
        <f>CONCATENATE("Description: "," ##334#",B7,"##334#",)</f>
        <v>Description:  ##334#Order information (A.2) and reason (A3)##334#</v>
      </c>
    </row>
    <row r="8" spans="1:11" ht="44.25" x14ac:dyDescent="0.75">
      <c r="A8" s="9">
        <v>1</v>
      </c>
      <c r="B8" s="9" t="s">
        <v>440</v>
      </c>
      <c r="C8" s="14" t="s">
        <v>431</v>
      </c>
      <c r="D8" s="14" t="s">
        <v>416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441</v>
      </c>
      <c r="C9" s="14" t="s">
        <v>417</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29.5" x14ac:dyDescent="0.75">
      <c r="A10" s="9">
        <v>3</v>
      </c>
      <c r="B10" s="9" t="s">
        <v>442</v>
      </c>
      <c r="C10" s="14" t="s">
        <v>418</v>
      </c>
      <c r="D10" s="14" t="s">
        <v>429</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443</v>
      </c>
      <c r="C11" s="1" t="s">
        <v>419</v>
      </c>
      <c r="D11" s="60" t="s">
        <v>551</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444</v>
      </c>
      <c r="C12" s="14" t="s">
        <v>420</v>
      </c>
      <c r="D12" s="14" t="s">
        <v>89</v>
      </c>
      <c r="E12" s="59">
        <v>0</v>
      </c>
      <c r="F12" s="59" t="s">
        <v>11</v>
      </c>
      <c r="G12" s="9" t="s">
        <v>414</v>
      </c>
      <c r="H12" s="23"/>
      <c r="I12" s="14" t="str">
        <f t="shared" si="0"/>
        <v>* orderDetails.orderPlacerName 0..* HumanName ##34#A.2.4 Order placer name##34# ##334#Person name.##334#</v>
      </c>
    </row>
    <row r="13" spans="1:11" ht="44.25" x14ac:dyDescent="0.75">
      <c r="A13" s="9">
        <v>6</v>
      </c>
      <c r="B13" s="9" t="s">
        <v>445</v>
      </c>
      <c r="C13" s="52" t="s">
        <v>421</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446</v>
      </c>
      <c r="C14" s="52" t="s">
        <v>553</v>
      </c>
      <c r="D14" s="52" t="s">
        <v>161</v>
      </c>
      <c r="E14" s="59">
        <v>0</v>
      </c>
      <c r="F14" s="59" t="s">
        <v>11</v>
      </c>
      <c r="G14" s="9" t="s">
        <v>370</v>
      </c>
      <c r="H14" s="23"/>
      <c r="I14" s="14" t="str">
        <f t="shared" si="0"/>
        <v>* orderDetails.orderPlacerOrganization 0..* Organization ##34#A.2.6 Order placer organization##34# ##334#Order placer organization information.##334#</v>
      </c>
    </row>
    <row r="15" spans="1:11" ht="29.5" x14ac:dyDescent="0.75">
      <c r="A15" s="9">
        <v>8</v>
      </c>
      <c r="B15" s="9" t="s">
        <v>437</v>
      </c>
      <c r="C15" s="14" t="s">
        <v>430</v>
      </c>
      <c r="D15" s="14" t="s">
        <v>422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438</v>
      </c>
      <c r="C16" s="14" t="s">
        <v>423</v>
      </c>
      <c r="D16" s="14" t="s">
        <v>439</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82" t="s">
        <v>144</v>
      </c>
      <c r="D26" s="83"/>
      <c r="E26" s="83"/>
      <c r="F26" s="84"/>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551</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552</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85" t="s">
        <v>162</v>
      </c>
      <c r="D33" s="86"/>
      <c r="E33" s="86"/>
      <c r="F33" s="87"/>
    </row>
    <row r="34" spans="2:9" ht="80" x14ac:dyDescent="0.75">
      <c r="B34" t="str">
        <f t="shared" si="1"/>
        <v>A.3.1 Problem / diagnosis / condition description</v>
      </c>
      <c r="C34" s="73" t="s">
        <v>163</v>
      </c>
      <c r="D34" s="73" t="s">
        <v>164</v>
      </c>
      <c r="E34" s="73"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74"/>
      <c r="D35" s="74"/>
      <c r="E35" s="74"/>
      <c r="F35" s="43" t="s">
        <v>167</v>
      </c>
      <c r="I35" s="1" t="str">
        <f t="shared" si="2"/>
        <v xml:space="preserve"> - Preferred system(s): SNOMED CT</v>
      </c>
    </row>
    <row r="36" spans="2:9" ht="32.75" thickBot="1" x14ac:dyDescent="0.9">
      <c r="C36" s="75"/>
      <c r="D36" s="75"/>
      <c r="E36" s="75"/>
      <c r="F36" s="39" t="s">
        <v>168</v>
      </c>
      <c r="I36" s="1" t="str">
        <f t="shared" si="2"/>
        <v xml:space="preserve"> - Preferred system(s): Orphacode</v>
      </c>
    </row>
    <row r="39" spans="2:9" ht="59" x14ac:dyDescent="0.75">
      <c r="D39" s="1" t="s">
        <v>432</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topLeftCell="A3" zoomScale="130" zoomScaleNormal="130" workbookViewId="0">
      <selection activeCell="C9" sqref="C9"/>
    </sheetView>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425</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426</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Order!B5</f>
        <v>Order</v>
      </c>
      <c r="C9" s="4" t="s">
        <v>339</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Order!B8</f>
        <v>orderDetails</v>
      </c>
      <c r="C10" s="14" t="s">
        <v>339</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Order!B9</f>
        <v>orderDetails.identifier</v>
      </c>
      <c r="C11" s="9" t="s">
        <v>598</v>
      </c>
      <c r="E11" s="14" t="str">
        <f t="shared" si="0"/>
        <v>* orderDetails.identifier -&gt; ##34#ServiceRequest.identifier##34#</v>
      </c>
      <c r="H11" s="10"/>
      <c r="I11" s="10"/>
      <c r="J11" s="10"/>
      <c r="K11" s="10"/>
      <c r="L11" s="10"/>
      <c r="M11" s="10"/>
      <c r="N11" s="10"/>
      <c r="O11" s="10"/>
    </row>
    <row r="12" spans="1:15" x14ac:dyDescent="0.75">
      <c r="A12" s="9"/>
      <c r="B12" s="9" t="str">
        <f>Order!B10</f>
        <v>orderDetails.dateTime</v>
      </c>
      <c r="C12" s="9" t="s">
        <v>599</v>
      </c>
      <c r="E12" s="14" t="str">
        <f t="shared" si="0"/>
        <v>* orderDetails.dateTime -&gt; ##34#ServiceRequest.authoredOn##34#</v>
      </c>
      <c r="H12" s="10"/>
      <c r="I12" s="10"/>
      <c r="J12" s="10"/>
      <c r="K12" s="10"/>
      <c r="L12" s="10"/>
      <c r="M12" s="10"/>
      <c r="N12" s="10"/>
      <c r="O12" s="10"/>
    </row>
    <row r="13" spans="1:15" ht="29.5" x14ac:dyDescent="0.75">
      <c r="A13" s="9"/>
      <c r="B13" s="62" t="str">
        <f>Order!$B$11</f>
        <v>orderDetails.orderPlacerIdentifier</v>
      </c>
      <c r="C13" s="9" t="s">
        <v>600</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Order!$B$11</f>
        <v>orderDetails.orderPlacerIdentifier</v>
      </c>
      <c r="C14" s="9" t="s">
        <v>601</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Order!B12</f>
        <v>orderDetails.orderPlacerName</v>
      </c>
      <c r="C15" s="9" t="s">
        <v>602</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Order!$B$13</f>
        <v>orderDetails.orderPlacerContacts</v>
      </c>
      <c r="C16" s="9" t="s">
        <v>605</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Order!$B$13</f>
        <v>orderDetails.orderPlacerContacts</v>
      </c>
      <c r="C17" s="9" t="s">
        <v>606</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Order!$B$14</f>
        <v>orderDetails.orderPlacerOrganization</v>
      </c>
      <c r="C18" s="9" t="s">
        <v>603</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Order!$B$14</f>
        <v>orderDetails.orderPlacerOrganization</v>
      </c>
      <c r="C19" s="9" t="s">
        <v>604</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Order!B15</f>
        <v>reason</v>
      </c>
      <c r="C20" s="9" t="s">
        <v>607</v>
      </c>
      <c r="E20" s="14" t="str">
        <f t="shared" si="0"/>
        <v>* reason -&gt; ##34#ServiceRequest.reasonCode##34#</v>
      </c>
    </row>
    <row r="21" spans="1:15" x14ac:dyDescent="0.75">
      <c r="A21" s="9"/>
      <c r="B21" s="9" t="str">
        <f>Order!B16</f>
        <v>reason.code</v>
      </c>
      <c r="C21" s="9" t="s">
        <v>607</v>
      </c>
      <c r="E21" s="14" t="str">
        <f t="shared" si="0"/>
        <v>* reason.code -&gt; ##34#ServiceRequest.reasonCode##34#</v>
      </c>
    </row>
    <row r="22" spans="1:15" x14ac:dyDescent="0.75">
      <c r="A22" s="9"/>
      <c r="B22" s="9">
        <f>Order!B17</f>
        <v>0</v>
      </c>
      <c r="C22" s="53" t="s">
        <v>354</v>
      </c>
      <c r="E22" s="14" t="str">
        <f t="shared" si="0"/>
        <v>*  -&gt; ##34###34#</v>
      </c>
    </row>
    <row r="23" spans="1:15" x14ac:dyDescent="0.75">
      <c r="A23" s="9"/>
      <c r="B23" s="9">
        <f>Order!B18</f>
        <v>0</v>
      </c>
      <c r="C23" s="9" t="s">
        <v>354</v>
      </c>
      <c r="E23" s="14" t="str">
        <f t="shared" si="0"/>
        <v>*  -&gt; ##34###34#</v>
      </c>
    </row>
    <row r="24" spans="1:15" x14ac:dyDescent="0.75">
      <c r="B24" s="9"/>
      <c r="C24" s="9" t="s">
        <v>354</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election activeCell="C23" sqref="C2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Order!I1</f>
        <v>// -------------------------------------------------------------------------------</v>
      </c>
    </row>
    <row r="2" spans="3:7" ht="16.75" thickBot="1" x14ac:dyDescent="0.9">
      <c r="C2" s="33" t="str">
        <f>Order!I2</f>
        <v>//  Logical Model</v>
      </c>
      <c r="G2" s="56" t="s">
        <v>447</v>
      </c>
    </row>
    <row r="3" spans="3:7" x14ac:dyDescent="0.75">
      <c r="C3" s="33" t="str">
        <f>Order!I3</f>
        <v>// -------------------------------------------------------------------------------</v>
      </c>
    </row>
    <row r="4" spans="3:7" x14ac:dyDescent="0.75">
      <c r="C4" s="25" t="str">
        <f>Order!I4</f>
        <v>Logical: OrderLabEhn</v>
      </c>
    </row>
    <row r="5" spans="3:7" x14ac:dyDescent="0.75">
      <c r="C5" s="25" t="str">
        <f>Order!I5</f>
        <v>Id: Order</v>
      </c>
    </row>
    <row r="6" spans="3:7" x14ac:dyDescent="0.75">
      <c r="C6" s="25" t="str">
        <f>Order!I6</f>
        <v>Title: ##34#Order (A2, A3)##34#</v>
      </c>
    </row>
    <row r="7" spans="3:7" x14ac:dyDescent="0.75">
      <c r="C7" s="25" t="str">
        <f>Order!I7</f>
        <v>Description:  ##334#Order information (A.2) and reason (A3)##334#</v>
      </c>
    </row>
    <row r="8" spans="3:7" ht="44.25" x14ac:dyDescent="0.75">
      <c r="C8" s="14" t="str">
        <f>IF(Order!I8="*  ..  ##34###34# ##334###334#","//--- END",Order!I8)</f>
        <v>* orderDetails 0..1 BackboneElement ##34#A.2 Order information##34# ##334#A.2 Order information (Laboratory Result Report could respond to multiple test orders) ##334#</v>
      </c>
    </row>
    <row r="9" spans="3:7" x14ac:dyDescent="0.75">
      <c r="C9" s="14" t="str">
        <f>IF(Order!I9="*  ..  ##34###34# ##334###334#","//--- END",Order!I9)</f>
        <v>* orderDetails.identifier 0..* Identifier ##34#A.2.1 Order Id##34# ##334#An identifier of the laboratory test order. Laboratory Result Report may respond to multiple orders.##334#</v>
      </c>
    </row>
    <row r="10" spans="3:7" ht="29.5" x14ac:dyDescent="0.75">
      <c r="C10" s="14" t="str">
        <f>IF(Order!I10="*  ..  ##34###34# ##334###334#","//--- END",Order!I10)</f>
        <v>* orderDetails.dateTime 0..* dateTime ##34#A.2.2 Order date and time##34# ##334#Date and time of the order placement. - Preferred system(s): ISO 8601##334#</v>
      </c>
      <c r="E10" t="s">
        <v>307</v>
      </c>
    </row>
    <row r="11" spans="3:7" ht="59" x14ac:dyDescent="0.75">
      <c r="C11" s="14" t="str">
        <f>IF(Order!I11="*  ..  ##34###34# ##334###334#","//--- END",Order!I11)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IF(Order!I12="*  ..  ##34###34# ##334###334#","//--- END",Order!I12)</f>
        <v>* orderDetails.orderPlacerName 0..* HumanName ##34#A.2.4 Order placer name##34# ##334#Person name.##334#</v>
      </c>
    </row>
    <row r="13" spans="3:7" ht="29.5" x14ac:dyDescent="0.75">
      <c r="C13" s="14" t="str">
        <f>IF(Order!I13="*  ..  ##34###34# ##334###334#","//--- END",Order!I13)</f>
        <v>* orderDetails.orderPlacerContacts 0..* BackboneElement ##34#A.2.5 Order placer contact details##34# ##334#Contact details of order placer (address and telecom details).##334#</v>
      </c>
    </row>
    <row r="14" spans="3:7" ht="29.5" x14ac:dyDescent="0.75">
      <c r="C14" s="14" t="str">
        <f>IF(Order!I14="*  ..  ##34###34# ##334###334#","//--- END",Order!I14)</f>
        <v>* orderDetails.orderPlacerOrganization 0..* Organization ##34#A.2.6 Order placer organization##34# ##334#Order placer organization information.##334#</v>
      </c>
    </row>
    <row r="15" spans="3:7" ht="29.5" x14ac:dyDescent="0.75">
      <c r="C15" s="14" t="str">
        <f>IF(Order!I15="*  ..  ##34###34# ##334###334#","//--- END",Order!I15)</f>
        <v>* reason 0..* BackboneElement ##34#A.3 Order reason##34# ##334#A.3 Order reason (Laboratory Result Report could respond to multiple reasons) ##334#</v>
      </c>
    </row>
    <row r="16" spans="3:7" ht="88.5" x14ac:dyDescent="0.75">
      <c r="C16" s="14" t="str">
        <f>IF(Order!I16="*  ..  ##34###34# ##334###334#","//--- END",Order!I16)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IF(Order!I17="*  ..  ##34###34# ##334###334#","//--- END",Order!I17)</f>
        <v>//--- END</v>
      </c>
    </row>
    <row r="18" spans="3:3" x14ac:dyDescent="0.75">
      <c r="C18" s="14" t="str">
        <f>IF(Order!I18="*  ..  ##34###34# ##334###334#","//--- END",Order!I18)</f>
        <v>//--- END</v>
      </c>
    </row>
    <row r="19" spans="3:3" x14ac:dyDescent="0.75">
      <c r="C19" s="14" t="str">
        <f>IF(Order!I19="*  ..  ##34###34# ##334###334#","//--- END",Order!I19)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zoomScaleNormal="100"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459</v>
      </c>
      <c r="I4" s="25" t="str">
        <f>CONCATENATE("Logical: ",B4)</f>
        <v>Logical: SpecimenLabEhn</v>
      </c>
    </row>
    <row r="5" spans="1:11" x14ac:dyDescent="0.75">
      <c r="A5" s="18" t="s">
        <v>19</v>
      </c>
      <c r="B5" s="34" t="s">
        <v>565</v>
      </c>
      <c r="I5" s="25" t="str">
        <f>CONCATENATE("Id: ",B5)</f>
        <v>Id: SpecimenLab</v>
      </c>
    </row>
    <row r="6" spans="1:11" x14ac:dyDescent="0.75">
      <c r="A6" s="18" t="s">
        <v>13</v>
      </c>
      <c r="B6" s="19" t="s">
        <v>458</v>
      </c>
      <c r="I6" s="26" t="str">
        <f>CONCATENATE("Title: ##34#",B6,"##34#")</f>
        <v>Title: ##34#Specimen information (A.4)##34#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367</v>
      </c>
      <c r="C8" s="14" t="s">
        <v>449</v>
      </c>
      <c r="D8" s="14" t="s">
        <v>463</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472</v>
      </c>
      <c r="C9" s="14" t="s">
        <v>450</v>
      </c>
      <c r="D9" s="37" t="s">
        <v>464</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473</v>
      </c>
      <c r="C10" s="1" t="s">
        <v>451</v>
      </c>
      <c r="D10" s="14" t="s">
        <v>465</v>
      </c>
      <c r="E10" s="9">
        <v>0</v>
      </c>
      <c r="F10" s="9" t="s">
        <v>11</v>
      </c>
      <c r="G10" s="9" t="s">
        <v>1</v>
      </c>
      <c r="H10" s="23"/>
      <c r="I10" s="14" t="str">
        <f t="shared" si="0"/>
        <v>* material 0..* CodeableConcept ##34#A.4.3 Material##34# ##334#Specimen material. - Preferred system(s): SNOMED CT##334#</v>
      </c>
    </row>
    <row r="11" spans="1:11" ht="29.5" x14ac:dyDescent="0.75">
      <c r="A11" s="59">
        <v>4</v>
      </c>
      <c r="B11" s="9" t="s">
        <v>2</v>
      </c>
      <c r="C11" s="14" t="s">
        <v>452</v>
      </c>
      <c r="D11" s="60" t="s">
        <v>466</v>
      </c>
      <c r="E11" s="59">
        <v>0</v>
      </c>
      <c r="F11" s="59" t="s">
        <v>11</v>
      </c>
      <c r="G11" s="9" t="s">
        <v>2</v>
      </c>
      <c r="H11" s="23"/>
      <c r="I11" s="14" t="str">
        <f t="shared" si="0"/>
        <v>* dateTime 0..* dateTime ##34#A.4.4 Collection period##34# ##334#Collection date time or period. - Preferred system(s): ISO 8601##334#</v>
      </c>
    </row>
    <row r="12" spans="1:11" ht="44.25" x14ac:dyDescent="0.75">
      <c r="A12" s="9">
        <v>5</v>
      </c>
      <c r="B12" s="9" t="s">
        <v>474</v>
      </c>
      <c r="C12" s="52" t="s">
        <v>453</v>
      </c>
      <c r="D12" s="14" t="s">
        <v>467</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476</v>
      </c>
      <c r="C13" s="52" t="s">
        <v>454</v>
      </c>
      <c r="D13" s="14" t="s">
        <v>468</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475</v>
      </c>
      <c r="C14" s="14" t="s">
        <v>455</v>
      </c>
      <c r="D14" s="52" t="s">
        <v>471</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477</v>
      </c>
      <c r="C15" t="s">
        <v>456</v>
      </c>
      <c r="D15" s="1" t="s">
        <v>469</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478</v>
      </c>
      <c r="C16" t="s">
        <v>457</v>
      </c>
      <c r="D16" s="1" t="s">
        <v>470</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85" t="s">
        <v>169</v>
      </c>
      <c r="D26" s="86"/>
      <c r="E26" s="86"/>
      <c r="F26" s="87"/>
    </row>
    <row r="27" spans="2:9" ht="112.75" thickBot="1" x14ac:dyDescent="0.9">
      <c r="B27" t="str">
        <f t="shared" si="1"/>
        <v>A.4.1 Specimen identifier</v>
      </c>
      <c r="C27" s="36" t="s">
        <v>170</v>
      </c>
      <c r="D27" s="39" t="s">
        <v>171</v>
      </c>
      <c r="E27" s="37" t="s">
        <v>460</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73" t="s">
        <v>188</v>
      </c>
      <c r="D33" s="76" t="s">
        <v>189</v>
      </c>
      <c r="E33" s="73"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74"/>
      <c r="D34" s="77"/>
      <c r="E34" s="74"/>
      <c r="F34" s="41"/>
      <c r="I34" s="1" t="str">
        <f t="shared" si="2"/>
        <v xml:space="preserve"> - Preferred system(s): </v>
      </c>
    </row>
    <row r="35" spans="2:9" ht="16.75" thickBot="1" x14ac:dyDescent="0.9">
      <c r="B35" t="str">
        <f t="shared" si="1"/>
        <v xml:space="preserve"> </v>
      </c>
      <c r="C35" s="75"/>
      <c r="D35" s="78"/>
      <c r="E35" s="75"/>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C12" sqref="C12"/>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461</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462</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Specimen!B5</f>
        <v>SpecimenLab</v>
      </c>
      <c r="C9" s="4" t="s">
        <v>340</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Specimen!B8</f>
        <v>identifier</v>
      </c>
      <c r="C10" s="9" t="s">
        <v>608</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Specimen!B9</f>
        <v>speciesType</v>
      </c>
      <c r="C11" s="9" t="s">
        <v>609</v>
      </c>
      <c r="E11" s="14" t="str">
        <f t="shared" si="0"/>
        <v>* speciesType -&gt; ##34#Specimen.type##34#</v>
      </c>
      <c r="G11" s="1" t="s">
        <v>26</v>
      </c>
      <c r="H11" s="10"/>
      <c r="I11" s="10"/>
      <c r="J11" s="10"/>
      <c r="K11" s="10"/>
      <c r="L11" s="10"/>
      <c r="M11" s="10"/>
      <c r="N11" s="10"/>
      <c r="O11" s="10"/>
    </row>
    <row r="12" spans="1:15" ht="44.25" x14ac:dyDescent="0.75">
      <c r="A12" s="9">
        <v>3</v>
      </c>
      <c r="B12" s="9" t="str">
        <f>Specimen!B10</f>
        <v>material</v>
      </c>
      <c r="C12" s="66" t="s">
        <v>354</v>
      </c>
      <c r="E12" s="14" t="str">
        <f t="shared" si="0"/>
        <v>* material -&gt; ##34#to be mapped##34#</v>
      </c>
      <c r="G12" s="1" t="s">
        <v>27</v>
      </c>
      <c r="H12" s="10"/>
      <c r="I12" s="10"/>
      <c r="J12" s="10"/>
      <c r="K12" s="10"/>
      <c r="L12" s="10"/>
      <c r="M12" s="10"/>
      <c r="N12" s="10"/>
      <c r="O12" s="10"/>
    </row>
    <row r="13" spans="1:15" x14ac:dyDescent="0.75">
      <c r="A13" s="9">
        <v>4</v>
      </c>
      <c r="B13" s="9" t="str">
        <f>Specimen!B11</f>
        <v>dateTime</v>
      </c>
      <c r="C13" s="9" t="s">
        <v>610</v>
      </c>
      <c r="E13" s="14" t="str">
        <f>IF(B13=0,"*  -&gt; ##34###34#",CONCATENATE("* ",B13," -&gt; ##34#",C13,"##34#"))</f>
        <v>* dateTime -&gt; ##34#Specimen.collection.collected[x]##34#</v>
      </c>
      <c r="G13" s="1" t="s">
        <v>28</v>
      </c>
      <c r="H13" s="10"/>
      <c r="I13" s="10"/>
      <c r="J13" s="10"/>
      <c r="K13" s="10"/>
      <c r="L13" s="10"/>
      <c r="M13" s="10"/>
      <c r="N13" s="10"/>
      <c r="O13" s="10"/>
    </row>
    <row r="14" spans="1:15" x14ac:dyDescent="0.75">
      <c r="A14" s="9">
        <v>5</v>
      </c>
      <c r="B14" s="9" t="str">
        <f>Specimen!B12</f>
        <v>anatomicLocation</v>
      </c>
      <c r="C14" s="9" t="s">
        <v>611</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Specimen!B13</f>
        <v>morphology</v>
      </c>
      <c r="C15" s="66" t="s">
        <v>612</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Specimen!B14</f>
        <v>sourceDevice</v>
      </c>
      <c r="C16" s="9" t="s">
        <v>613</v>
      </c>
      <c r="E16" s="14" t="str">
        <f t="shared" si="1"/>
        <v>* sourceDevice -&gt; ##34#Specimen.container##34#</v>
      </c>
      <c r="G16" s="1" t="s">
        <v>31</v>
      </c>
      <c r="H16" s="10"/>
      <c r="I16" s="10"/>
      <c r="J16" s="10"/>
      <c r="K16" s="10"/>
      <c r="L16" s="10"/>
      <c r="M16" s="10"/>
      <c r="N16" s="10"/>
      <c r="O16" s="10"/>
    </row>
    <row r="17" spans="1:7" ht="29.5" x14ac:dyDescent="0.75">
      <c r="A17" s="9">
        <v>8</v>
      </c>
      <c r="B17" s="9" t="str">
        <f>Specimen!B15</f>
        <v>collectionMethod</v>
      </c>
      <c r="C17" s="9" t="s">
        <v>614</v>
      </c>
      <c r="E17" s="14" t="str">
        <f t="shared" si="1"/>
        <v>* collectionMethod -&gt; ##34#Specimen.collection.method##34#</v>
      </c>
      <c r="G17" s="1" t="s">
        <v>32</v>
      </c>
    </row>
    <row r="18" spans="1:7" x14ac:dyDescent="0.75">
      <c r="A18" s="9">
        <v>9</v>
      </c>
      <c r="B18" s="9" t="str">
        <f>Specimen!B16</f>
        <v>receivedDateTime</v>
      </c>
      <c r="C18" s="9" t="s">
        <v>615</v>
      </c>
      <c r="E18" s="14" t="str">
        <f t="shared" si="1"/>
        <v>* receivedDateTime -&gt; ##34#Specimen.receivedTime##34#</v>
      </c>
      <c r="G18" s="1" t="s">
        <v>33</v>
      </c>
    </row>
    <row r="19" spans="1:7" x14ac:dyDescent="0.75">
      <c r="A19" s="9">
        <v>10</v>
      </c>
      <c r="B19" s="9">
        <f>Specimen!B17</f>
        <v>0</v>
      </c>
      <c r="C19" s="9" t="s">
        <v>354</v>
      </c>
      <c r="E19" s="14" t="str">
        <f t="shared" si="1"/>
        <v>*  -&gt; ##34###34#</v>
      </c>
    </row>
    <row r="20" spans="1:7" x14ac:dyDescent="0.75">
      <c r="A20" s="9"/>
      <c r="B20" s="9">
        <f>Specimen!B18</f>
        <v>0</v>
      </c>
      <c r="C20" s="9" t="s">
        <v>354</v>
      </c>
      <c r="E20" s="14" t="str">
        <f t="shared" si="1"/>
        <v>*  -&gt; ##34###34#</v>
      </c>
    </row>
    <row r="21" spans="1:7" x14ac:dyDescent="0.75">
      <c r="B21" s="9">
        <f>Specimen!B19</f>
        <v>0</v>
      </c>
      <c r="C21" s="9" t="s">
        <v>354</v>
      </c>
      <c r="E21" s="14" t="str">
        <f t="shared" si="1"/>
        <v>*  -&gt; ##34###34#</v>
      </c>
    </row>
    <row r="22" spans="1:7" x14ac:dyDescent="0.75">
      <c r="B22" s="9">
        <f>Specimen!B20</f>
        <v>0</v>
      </c>
      <c r="E22" s="14"/>
    </row>
    <row r="23" spans="1:7" x14ac:dyDescent="0.75">
      <c r="E23" s="14"/>
    </row>
    <row r="24" spans="1:7" x14ac:dyDescent="0.75">
      <c r="E24" s="22"/>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election activeCell="C20" sqref="C20:C2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Specimen!I1</f>
        <v>// -------------------------------------------------------------------------------</v>
      </c>
    </row>
    <row r="2" spans="3:7" ht="16.75" thickBot="1" x14ac:dyDescent="0.9">
      <c r="C2" s="33" t="str">
        <f>Specimen!I2</f>
        <v>//  Logical Model</v>
      </c>
      <c r="G2" s="56" t="s">
        <v>479</v>
      </c>
    </row>
    <row r="3" spans="3:7" x14ac:dyDescent="0.75">
      <c r="C3" s="33" t="str">
        <f>Specimen!I3</f>
        <v>// -------------------------------------------------------------------------------</v>
      </c>
    </row>
    <row r="4" spans="3:7" x14ac:dyDescent="0.75">
      <c r="C4" s="25" t="str">
        <f>Specimen!I4</f>
        <v>Logical: SpecimenLabEhn</v>
      </c>
    </row>
    <row r="5" spans="3:7" x14ac:dyDescent="0.75">
      <c r="C5" s="25" t="str">
        <f>Specimen!I5</f>
        <v>Id: SpecimenLab</v>
      </c>
    </row>
    <row r="6" spans="3:7" x14ac:dyDescent="0.75">
      <c r="C6" s="25" t="str">
        <f>Specimen!I6</f>
        <v>Title: ##34#Specimen information (A.4)##34#</v>
      </c>
    </row>
    <row r="7" spans="3:7" x14ac:dyDescent="0.75">
      <c r="C7" s="25" t="str">
        <f>Specimen!I7</f>
        <v>Description:  ##334#A.4 Specimen information##334#</v>
      </c>
    </row>
    <row r="8" spans="3:7" ht="29.5" x14ac:dyDescent="0.75">
      <c r="C8" s="14" t="str">
        <f>IF(Specimen!I8="*  ..  ##34###34# ##334###334#","//--- END",Specimen!I8)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IF(Specimen!I9="*  ..  ##34###34# ##334###334#","//--- END",Specimen!I9)</f>
        <v>* speciesType 0..* CodeableConcept ##34#A.4.2 Type of species##34# ##334#Biologic type of species for laboratory result reports bound to non-human subjects. - Preferred system(s): SNOMED CT##334#</v>
      </c>
    </row>
    <row r="10" spans="3:7" ht="29.5" x14ac:dyDescent="0.75">
      <c r="C10" s="14" t="str">
        <f>IF(Specimen!I10="*  ..  ##34###34# ##334###334#","//--- END",Specimen!I10)</f>
        <v>* material 0..* CodeableConcept ##34#A.4.3 Material##34# ##334#Specimen material. - Preferred system(s): SNOMED CT##334#</v>
      </c>
      <c r="E10" t="s">
        <v>307</v>
      </c>
    </row>
    <row r="11" spans="3:7" ht="29.5" x14ac:dyDescent="0.75">
      <c r="C11" s="14" t="str">
        <f>IF(Specimen!I11="*  ..  ##34###34# ##334###334#","//--- END",Specimen!I11)</f>
        <v>* dateTime 0..* dateTime ##34#A.4.4 Collection period##34# ##334#Collection date time or period. - Preferred system(s): ISO 8601##334#</v>
      </c>
    </row>
    <row r="12" spans="3:7" ht="29.5" x14ac:dyDescent="0.75">
      <c r="C12" s="14" t="str">
        <f>IF(Specimen!I12="*  ..  ##34###34# ##334###334#","//--- END",Specimen!I12)</f>
        <v>* anatomicLocation 0..* CodeableConcept ##34#A.4.5 Anatomic location##34# ##334#Anatomic location (body location, laterality) where the material is collected, e.g. Elbow, left - Preferred system(s): SNOMED CT##334#</v>
      </c>
    </row>
    <row r="13" spans="3:7" ht="29.5" x14ac:dyDescent="0.75">
      <c r="C13" s="14" t="str">
        <f>IF(Specimen!I13="*  ..  ##34###34# ##334###334#","//--- END",Specimen!I13)</f>
        <v>* morphology 0..* CodeableConcept ##34#A.4.6 Morphology##34# ##334#Morphological abnormalities of the anatomical location where the material is taken, for example wound, ulcer. - Preferred system(s): SNOMED CT##334#</v>
      </c>
    </row>
    <row r="14" spans="3:7" ht="59" x14ac:dyDescent="0.75">
      <c r="C14" s="14" t="str">
        <f>IF(Specimen!I14="*  ..  ##34###34# ##334###334#","//--- END",Specimen!I14)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IF(Specimen!I15="*  ..  ##34###34# ##334###334#","//--- END",Specimen!I15)</f>
        <v>* collectionMethod 0..* CodeableConcept ##34#A.4.8 Collection procedure/method##34# ##334#If relevant for the results, the method of obtaining the specimen. - Preferred system(s): SNOMED CT##334#</v>
      </c>
    </row>
    <row r="16" spans="3:7" ht="29.5" x14ac:dyDescent="0.75">
      <c r="C16" s="14" t="str">
        <f>IF(Specimen!I16="*  ..  ##34###34# ##334###334#","//--- END",Specimen!I16)</f>
        <v>* receivedDateTime 0..* dateTime ##34#A.4.9 Received date##34# ##334#Date and time that the material is handed over at the laboratory or specimen collection centre. - Preferred system(s): ISO 8601##334#</v>
      </c>
    </row>
    <row r="17" spans="3:3" x14ac:dyDescent="0.75">
      <c r="C17" s="14" t="str">
        <f>IF(Specimen!I17="*  ..  ##34###34# ##334###334#","//--- END",Specimen!I17)</f>
        <v>//--- END</v>
      </c>
    </row>
    <row r="18" spans="3:3" x14ac:dyDescent="0.75">
      <c r="C18" s="14" t="str">
        <f>IF(Specimen!I18="*  ..  ##34###34# ##334###334#","//--- END",Specimen!I18)</f>
        <v>//--- END</v>
      </c>
    </row>
    <row r="19" spans="3:3" x14ac:dyDescent="0.75">
      <c r="C19" s="14" t="str">
        <f>IF(Specimen!I19="*  ..  ##34###34# ##334###334#","//--- END",Specimen!I19)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dateTime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zoomScaleNormal="100"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480</v>
      </c>
      <c r="I4" s="25" t="str">
        <f>CONCATENATE("Logical: ",B4)</f>
        <v>Logical: ResultLabEhn</v>
      </c>
    </row>
    <row r="5" spans="1:11" x14ac:dyDescent="0.75">
      <c r="A5" s="18" t="s">
        <v>19</v>
      </c>
      <c r="B5" s="34" t="s">
        <v>481</v>
      </c>
      <c r="I5" s="25" t="str">
        <f>CONCATENATE("Id: ",B5)</f>
        <v>Id: Result</v>
      </c>
    </row>
    <row r="6" spans="1:11" x14ac:dyDescent="0.75">
      <c r="A6" s="18" t="s">
        <v>13</v>
      </c>
      <c r="B6" s="14" t="s">
        <v>502</v>
      </c>
      <c r="I6" s="26" t="str">
        <f>CONCATENATE("Title: ##34#",B6,"##34#")</f>
        <v>Title: ##34#Results data elements (A.5)##34#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503</v>
      </c>
      <c r="C8" s="14" t="s">
        <v>554</v>
      </c>
      <c r="D8" s="14" t="s">
        <v>554</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504</v>
      </c>
      <c r="C9" s="1" t="s">
        <v>485</v>
      </c>
      <c r="D9" s="14" t="s">
        <v>617</v>
      </c>
      <c r="E9" s="9">
        <v>0</v>
      </c>
      <c r="F9" s="9" t="s">
        <v>11</v>
      </c>
      <c r="G9" s="9" t="s">
        <v>507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505</v>
      </c>
      <c r="C10" s="14" t="s">
        <v>486</v>
      </c>
      <c r="D10" s="60" t="s">
        <v>205</v>
      </c>
      <c r="E10" s="9">
        <v>0</v>
      </c>
      <c r="F10" s="9" t="s">
        <v>11</v>
      </c>
      <c r="G10" s="9" t="s">
        <v>507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506</v>
      </c>
      <c r="C11" s="52" t="s">
        <v>508</v>
      </c>
      <c r="D11" s="52" t="s">
        <v>555</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509</v>
      </c>
      <c r="C12" s="52" t="s">
        <v>487</v>
      </c>
      <c r="D12" s="14" t="s">
        <v>501</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510</v>
      </c>
      <c r="C13" s="14" t="s">
        <v>488</v>
      </c>
      <c r="D13" s="52" t="s">
        <v>511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512</v>
      </c>
      <c r="C14" s="9" t="s">
        <v>489</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513</v>
      </c>
      <c r="C15" s="9" t="s">
        <v>490</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514</v>
      </c>
      <c r="C16" s="9" t="s">
        <v>491</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515</v>
      </c>
      <c r="C17" s="9" t="s">
        <v>492</v>
      </c>
      <c r="D17" s="14" t="s">
        <v>527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516</v>
      </c>
      <c r="C18" s="9" t="s">
        <v>493</v>
      </c>
      <c r="D18" s="14" t="s">
        <v>517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518</v>
      </c>
      <c r="C19" s="9" t="s">
        <v>494</v>
      </c>
      <c r="D19" s="14" t="s">
        <v>520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519</v>
      </c>
      <c r="C20" s="9" t="s">
        <v>495</v>
      </c>
      <c r="D20" s="14" t="s">
        <v>561</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521</v>
      </c>
      <c r="C21" s="9" t="s">
        <v>496</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522</v>
      </c>
      <c r="C22" s="9" t="s">
        <v>497</v>
      </c>
      <c r="D22" s="14" t="s">
        <v>556</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524</v>
      </c>
      <c r="C23" s="9" t="s">
        <v>498</v>
      </c>
      <c r="D23" s="14" t="s">
        <v>523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525</v>
      </c>
      <c r="C24" s="9" t="s">
        <v>499</v>
      </c>
      <c r="D24" s="14" t="s">
        <v>249</v>
      </c>
      <c r="E24" s="9">
        <v>0</v>
      </c>
      <c r="F24" s="9" t="s">
        <v>11</v>
      </c>
      <c r="G24" s="9" t="s">
        <v>507</v>
      </c>
      <c r="H24" s="9"/>
      <c r="I24" s="14" t="str">
        <f t="shared" si="0"/>
        <v>* observation.description 0..* Narrative ##34#A.5.2.13 Result description##34# ##334#Comments and narrative representation of the observation result and findings.##334#</v>
      </c>
    </row>
    <row r="25" spans="1:9" ht="44.25" x14ac:dyDescent="0.75">
      <c r="A25" s="9">
        <v>22</v>
      </c>
      <c r="B25" s="9" t="s">
        <v>526</v>
      </c>
      <c r="C25" s="9" t="s">
        <v>500</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79" t="s">
        <v>198</v>
      </c>
      <c r="D36" s="80"/>
      <c r="E36" s="80"/>
      <c r="F36" s="81"/>
    </row>
    <row r="37" spans="2:9" ht="16.75" thickBot="1" x14ac:dyDescent="0.9">
      <c r="B37" t="str">
        <f t="shared" si="1"/>
        <v xml:space="preserve">A.5.1 Laboratory report narrative  </v>
      </c>
      <c r="C37" s="79" t="s">
        <v>557</v>
      </c>
      <c r="D37" s="80"/>
      <c r="E37" s="80"/>
      <c r="F37" s="81"/>
    </row>
    <row r="38" spans="2:9" ht="64.75" thickBot="1" x14ac:dyDescent="0.9">
      <c r="B38" t="str">
        <f t="shared" si="1"/>
        <v>A.5.1.1 Narrative report</v>
      </c>
      <c r="C38" s="36" t="s">
        <v>200</v>
      </c>
      <c r="D38" s="39" t="s">
        <v>201</v>
      </c>
      <c r="E38" s="37" t="s">
        <v>558</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79" t="s">
        <v>559</v>
      </c>
      <c r="D40" s="80"/>
      <c r="E40" s="80"/>
      <c r="F40" s="81"/>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73" t="s">
        <v>210</v>
      </c>
      <c r="D42" s="76" t="s">
        <v>211</v>
      </c>
      <c r="E42" s="73" t="s">
        <v>212</v>
      </c>
      <c r="F42" s="43" t="s">
        <v>130</v>
      </c>
      <c r="I42" s="1" t="str">
        <f t="shared" si="2"/>
        <v>Code representing the observation using the agreed code systems. - Preferred system(s): LOINC</v>
      </c>
    </row>
    <row r="43" spans="2:9" ht="16" x14ac:dyDescent="0.75">
      <c r="B43" t="str">
        <f t="shared" si="1"/>
        <v xml:space="preserve"> </v>
      </c>
      <c r="C43" s="74"/>
      <c r="D43" s="77"/>
      <c r="E43" s="74"/>
      <c r="F43" s="43" t="s">
        <v>213</v>
      </c>
      <c r="I43" s="1" t="str">
        <f t="shared" si="2"/>
        <v xml:space="preserve"> - Preferred system(s): NPU</v>
      </c>
    </row>
    <row r="44" spans="2:9" ht="32.75" thickBot="1" x14ac:dyDescent="0.9">
      <c r="B44" t="str">
        <f t="shared" si="1"/>
        <v xml:space="preserve"> </v>
      </c>
      <c r="C44" s="75"/>
      <c r="D44" s="78"/>
      <c r="E44" s="75"/>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73" t="s">
        <v>226</v>
      </c>
      <c r="D49" s="76" t="s">
        <v>227</v>
      </c>
      <c r="E49" s="73"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74"/>
      <c r="D50" s="77"/>
      <c r="E50" s="74"/>
      <c r="F50" s="41"/>
      <c r="I50" s="1" t="str">
        <f t="shared" si="2"/>
        <v xml:space="preserve"> - Preferred system(s): </v>
      </c>
    </row>
    <row r="51" spans="2:9" ht="16.75" thickBot="1" x14ac:dyDescent="0.9">
      <c r="B51" t="str">
        <f t="shared" si="1"/>
        <v xml:space="preserve"> </v>
      </c>
      <c r="C51" s="75"/>
      <c r="D51" s="78"/>
      <c r="E51" s="75"/>
      <c r="F51" s="39" t="s">
        <v>191</v>
      </c>
      <c r="I51" s="1" t="str">
        <f t="shared" si="2"/>
        <v xml:space="preserve"> - Preferred system(s): EMDN</v>
      </c>
    </row>
    <row r="52" spans="2:9" ht="32.75" thickBot="1" x14ac:dyDescent="0.9">
      <c r="B52" t="str">
        <f t="shared" si="1"/>
        <v>A.5.2.8 Order</v>
      </c>
      <c r="C52" s="36" t="s">
        <v>229</v>
      </c>
      <c r="D52" s="39" t="s">
        <v>230</v>
      </c>
      <c r="E52" s="37" t="s">
        <v>560</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561</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73" t="s">
        <v>238</v>
      </c>
      <c r="D55" s="76" t="s">
        <v>239</v>
      </c>
      <c r="E55" s="73" t="s">
        <v>562</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74"/>
      <c r="D56" s="77"/>
      <c r="E56" s="74"/>
      <c r="F56" s="44"/>
      <c r="I56" s="1" t="str">
        <f t="shared" si="2"/>
        <v xml:space="preserve"> - Preferred system(s): </v>
      </c>
    </row>
    <row r="57" spans="2:9" ht="48.75" thickBot="1" x14ac:dyDescent="0.9">
      <c r="B57" t="str">
        <f t="shared" si="1"/>
        <v xml:space="preserve"> </v>
      </c>
      <c r="C57" s="75"/>
      <c r="D57" s="78"/>
      <c r="E57" s="75"/>
      <c r="F57" s="39" t="s">
        <v>242</v>
      </c>
      <c r="I57" s="1" t="str">
        <f t="shared" si="2"/>
        <v xml:space="preserve"> - Preferred system(s): UCUM (for units)</v>
      </c>
    </row>
    <row r="58" spans="2:9" ht="32" x14ac:dyDescent="0.75">
      <c r="B58" t="str">
        <f t="shared" si="1"/>
        <v>A.5.2.12 Observation interpretation</v>
      </c>
      <c r="C58" s="73" t="s">
        <v>243</v>
      </c>
      <c r="D58" s="76" t="s">
        <v>244</v>
      </c>
      <c r="E58" s="73" t="s">
        <v>245</v>
      </c>
      <c r="F58" s="43" t="s">
        <v>167</v>
      </c>
      <c r="I58" s="1" t="str">
        <f t="shared" si="2"/>
        <v>Information about reference intervals and result interpretation. - Preferred system(s): SNOMED CT</v>
      </c>
    </row>
    <row r="59" spans="2:9" x14ac:dyDescent="0.75">
      <c r="B59" t="str">
        <f t="shared" si="1"/>
        <v xml:space="preserve"> </v>
      </c>
      <c r="C59" s="74"/>
      <c r="D59" s="77"/>
      <c r="E59" s="74"/>
      <c r="F59" s="41"/>
      <c r="I59" s="1" t="str">
        <f t="shared" si="2"/>
        <v xml:space="preserve"> - Preferred system(s): </v>
      </c>
    </row>
    <row r="60" spans="2:9" ht="112.75" thickBot="1" x14ac:dyDescent="0.9">
      <c r="B60" t="str">
        <f t="shared" si="1"/>
        <v xml:space="preserve"> </v>
      </c>
      <c r="C60" s="75"/>
      <c r="D60" s="78"/>
      <c r="E60" s="75"/>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election activeCell="E11" sqref="E11:E37"/>
    </sheetView>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482</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483</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8" t="str">
        <f>Results!B5</f>
        <v>Result</v>
      </c>
      <c r="C9" s="8" t="s">
        <v>616</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Results!$B$8</f>
        <v>narrative</v>
      </c>
      <c r="C10" s="9" t="s">
        <v>619</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Results!$B$8</f>
        <v>narrative</v>
      </c>
      <c r="C11" s="9" t="s">
        <v>618</v>
      </c>
      <c r="E11" s="14" t="str">
        <f t="shared" si="0"/>
        <v>* narrative -&gt; ##34#Composition.section.text##34#</v>
      </c>
      <c r="G11" s="1"/>
      <c r="H11" s="10"/>
      <c r="I11" s="10"/>
      <c r="J11" s="10"/>
      <c r="K11" s="10"/>
      <c r="L11" s="10"/>
      <c r="M11" s="10"/>
      <c r="N11" s="10"/>
      <c r="O11" s="10"/>
    </row>
    <row r="12" spans="1:15" x14ac:dyDescent="0.75">
      <c r="A12" s="9"/>
      <c r="B12" s="65" t="str">
        <f>Results!$B$8</f>
        <v>narrative</v>
      </c>
      <c r="C12" s="9" t="s">
        <v>620</v>
      </c>
      <c r="E12" s="14" t="str">
        <f t="shared" si="0"/>
        <v>* narrative -&gt; ##34#Composition.text##34#</v>
      </c>
      <c r="G12" s="1"/>
      <c r="H12" s="10"/>
      <c r="I12" s="10"/>
      <c r="J12" s="10"/>
      <c r="K12" s="10"/>
      <c r="L12" s="10"/>
      <c r="M12" s="10"/>
      <c r="N12" s="10"/>
      <c r="O12" s="10"/>
    </row>
    <row r="13" spans="1:15" x14ac:dyDescent="0.75">
      <c r="A13" s="9">
        <v>2</v>
      </c>
      <c r="B13" s="62" t="str">
        <f>Results!$B$9</f>
        <v>narrative.report</v>
      </c>
      <c r="C13" s="9" t="s">
        <v>619</v>
      </c>
      <c r="E13" s="14" t="str">
        <f t="shared" si="0"/>
        <v>* narrative.report -&gt; ##34#Composition.section.section.text##34#</v>
      </c>
      <c r="G13" s="1" t="s">
        <v>26</v>
      </c>
      <c r="H13" s="10"/>
      <c r="I13" s="10"/>
      <c r="J13" s="10"/>
      <c r="K13" s="10"/>
      <c r="L13" s="10"/>
      <c r="M13" s="10"/>
      <c r="N13" s="10"/>
      <c r="O13" s="10"/>
    </row>
    <row r="14" spans="1:15" x14ac:dyDescent="0.75">
      <c r="A14" s="9"/>
      <c r="B14" s="62" t="str">
        <f>Results!$B$9</f>
        <v>narrative.report</v>
      </c>
      <c r="C14" s="9" t="s">
        <v>618</v>
      </c>
      <c r="E14" s="14" t="str">
        <f t="shared" si="0"/>
        <v>* narrative.report -&gt; ##34#Composition.section.text##34#</v>
      </c>
      <c r="G14" s="1"/>
      <c r="H14" s="10"/>
      <c r="I14" s="10"/>
      <c r="J14" s="10"/>
      <c r="K14" s="10"/>
      <c r="L14" s="10"/>
      <c r="M14" s="10"/>
      <c r="N14" s="10"/>
      <c r="O14" s="10"/>
    </row>
    <row r="15" spans="1:15" x14ac:dyDescent="0.75">
      <c r="A15" s="9"/>
      <c r="B15" s="62" t="str">
        <f>Results!$B$9</f>
        <v>narrative.report</v>
      </c>
      <c r="C15" s="9" t="s">
        <v>620</v>
      </c>
      <c r="E15" s="14" t="str">
        <f t="shared" si="0"/>
        <v>* narrative.report -&gt; ##34#Composition.text##34#</v>
      </c>
      <c r="G15" s="1"/>
      <c r="H15" s="10"/>
      <c r="I15" s="10"/>
      <c r="J15" s="10"/>
      <c r="K15" s="10"/>
      <c r="L15" s="10"/>
      <c r="M15" s="10"/>
      <c r="N15" s="10"/>
      <c r="O15" s="10"/>
    </row>
    <row r="16" spans="1:15" ht="44.25" x14ac:dyDescent="0.75">
      <c r="A16" s="9">
        <v>3</v>
      </c>
      <c r="B16" s="9" t="str">
        <f>Results!B10</f>
        <v>narrative.notes</v>
      </c>
      <c r="C16" s="9" t="s">
        <v>621</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Results!$B$11</f>
        <v>observation</v>
      </c>
      <c r="C17" s="9" t="s">
        <v>616</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Results!$B$11</f>
        <v>observation</v>
      </c>
      <c r="C18" s="9" t="s">
        <v>622</v>
      </c>
      <c r="E18" s="14" t="str">
        <f t="shared" si="0"/>
        <v>* observation -&gt; ##34#Observation.hasMember.resolve()##34#</v>
      </c>
      <c r="G18" s="1"/>
      <c r="H18" s="10"/>
      <c r="I18" s="10"/>
      <c r="J18" s="10"/>
      <c r="K18" s="10"/>
      <c r="L18" s="10"/>
      <c r="M18" s="10"/>
      <c r="N18" s="10"/>
      <c r="O18" s="10"/>
    </row>
    <row r="19" spans="1:15" x14ac:dyDescent="0.75">
      <c r="A19" s="9"/>
      <c r="B19" s="62" t="str">
        <f>Results!$B$11</f>
        <v>observation</v>
      </c>
      <c r="C19" s="9" t="s">
        <v>623</v>
      </c>
      <c r="E19" s="14" t="str">
        <f t="shared" si="0"/>
        <v>* observation -&gt; ##34#Observation.component##34#</v>
      </c>
      <c r="G19" s="1"/>
      <c r="H19" s="10"/>
      <c r="I19" s="10"/>
      <c r="J19" s="10"/>
      <c r="K19" s="10"/>
      <c r="L19" s="10"/>
      <c r="M19" s="10"/>
      <c r="N19" s="10"/>
      <c r="O19" s="10"/>
    </row>
    <row r="20" spans="1:15" x14ac:dyDescent="0.75">
      <c r="A20" s="9">
        <v>5</v>
      </c>
      <c r="B20" s="9" t="str">
        <f>Results!B12</f>
        <v>observation.dateTime</v>
      </c>
      <c r="C20" s="9" t="s">
        <v>624</v>
      </c>
      <c r="E20" s="14" t="str">
        <f t="shared" si="0"/>
        <v>* observation.dateTime -&gt; ##34#Observation.effective[x]##34#</v>
      </c>
      <c r="G20" s="1" t="s">
        <v>29</v>
      </c>
      <c r="H20" s="10"/>
      <c r="I20" s="10"/>
      <c r="J20" s="10"/>
      <c r="K20" s="10"/>
      <c r="L20" s="10"/>
      <c r="M20" s="10"/>
      <c r="N20" s="10"/>
      <c r="O20" s="10"/>
    </row>
    <row r="21" spans="1:15" ht="29.5" x14ac:dyDescent="0.75">
      <c r="A21" s="9">
        <v>6</v>
      </c>
      <c r="B21" s="9" t="str">
        <f>Results!B13</f>
        <v>observation.code</v>
      </c>
      <c r="C21" s="9" t="s">
        <v>625</v>
      </c>
      <c r="E21" s="14" t="str">
        <f t="shared" si="0"/>
        <v>* observation.code -&gt; ##34#Observation.code##34#</v>
      </c>
      <c r="G21" s="1" t="s">
        <v>30</v>
      </c>
      <c r="H21" s="10"/>
      <c r="I21" s="10"/>
      <c r="J21" s="10"/>
      <c r="K21" s="10"/>
      <c r="L21" s="10"/>
      <c r="M21" s="10"/>
      <c r="N21" s="10"/>
      <c r="O21" s="10"/>
    </row>
    <row r="22" spans="1:15" ht="29.5" x14ac:dyDescent="0.75">
      <c r="A22" s="9">
        <v>7</v>
      </c>
      <c r="B22" s="9" t="str">
        <f>Results!B14</f>
        <v>observation.code.name</v>
      </c>
      <c r="C22" s="67" t="s">
        <v>626</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Results!B15</f>
        <v>observation.code.originalName</v>
      </c>
      <c r="C23" s="9" t="s">
        <v>627</v>
      </c>
      <c r="E23" s="14" t="str">
        <f t="shared" si="0"/>
        <v>* observation.code.originalName -&gt; ##34#Observation.code.text##34#</v>
      </c>
      <c r="G23" s="1" t="s">
        <v>32</v>
      </c>
    </row>
    <row r="24" spans="1:15" ht="29.5" x14ac:dyDescent="0.75">
      <c r="A24" s="9">
        <v>9</v>
      </c>
      <c r="B24" s="9" t="str">
        <f>Results!B16</f>
        <v>observation.code.displayName</v>
      </c>
      <c r="C24" s="67" t="s">
        <v>628</v>
      </c>
      <c r="E24" s="14" t="str">
        <f t="shared" si="0"/>
        <v>* observation.code.displayName -&gt; ##34#Observation.code.coding.display.extension('translation') (TBD)##34#</v>
      </c>
      <c r="G24" s="1" t="s">
        <v>33</v>
      </c>
    </row>
    <row r="25" spans="1:15" x14ac:dyDescent="0.75">
      <c r="A25" s="9">
        <v>10</v>
      </c>
      <c r="B25" s="9" t="str">
        <f>Results!B17</f>
        <v>observation.method</v>
      </c>
      <c r="C25" s="9" t="s">
        <v>629</v>
      </c>
      <c r="E25" s="14" t="str">
        <f t="shared" si="0"/>
        <v>* observation.method -&gt; ##34#Observation.method##34#</v>
      </c>
    </row>
    <row r="26" spans="1:15" x14ac:dyDescent="0.75">
      <c r="A26" s="9"/>
      <c r="B26" s="9" t="str">
        <f>Results!B18</f>
        <v>observation.device</v>
      </c>
      <c r="C26" s="9" t="s">
        <v>630</v>
      </c>
      <c r="E26" s="14" t="str">
        <f t="shared" si="0"/>
        <v>* observation.device -&gt; ##34#Observation.device.resolve()##34#</v>
      </c>
    </row>
    <row r="27" spans="1:15" ht="29.5" x14ac:dyDescent="0.75">
      <c r="B27" s="9" t="str">
        <f>Results!B19</f>
        <v>observation.order</v>
      </c>
      <c r="C27" s="9" t="s">
        <v>631</v>
      </c>
      <c r="E27" s="14" t="str">
        <f t="shared" si="0"/>
        <v>* observation.order -&gt; ##34#Observation.basedOn.resolve().ofType(ServiceRequest)##34#</v>
      </c>
    </row>
    <row r="28" spans="1:15" x14ac:dyDescent="0.75">
      <c r="B28" s="9" t="str">
        <f>Results!B20</f>
        <v>observation.performer</v>
      </c>
      <c r="C28" s="9" t="s">
        <v>632</v>
      </c>
      <c r="E28" s="14" t="str">
        <f t="shared" si="0"/>
        <v>* observation.performer -&gt; ##34#Observation.performer.resolve()##34#</v>
      </c>
    </row>
    <row r="29" spans="1:15" x14ac:dyDescent="0.75">
      <c r="B29" s="9" t="str">
        <f>Results!B21</f>
        <v>observation.reporter</v>
      </c>
      <c r="C29" s="67" t="s">
        <v>354</v>
      </c>
      <c r="E29" s="14" t="str">
        <f t="shared" si="0"/>
        <v>* observation.reporter -&gt; ##34#to be mapped##34#</v>
      </c>
    </row>
    <row r="30" spans="1:15" x14ac:dyDescent="0.75">
      <c r="B30" s="9" t="str">
        <f>Results!B22</f>
        <v>observation.result</v>
      </c>
      <c r="C30" s="9" t="s">
        <v>633</v>
      </c>
      <c r="E30" s="14" t="str">
        <f t="shared" si="0"/>
        <v>* observation.result -&gt; ##34#Observation.value[x]##34#</v>
      </c>
    </row>
    <row r="31" spans="1:15" x14ac:dyDescent="0.75">
      <c r="B31" s="9" t="str">
        <f>Results!B23</f>
        <v>observation.interpretation</v>
      </c>
      <c r="C31" s="9" t="s">
        <v>634</v>
      </c>
      <c r="E31" s="14" t="str">
        <f t="shared" si="0"/>
        <v>* observation.interpretation -&gt; ##34#Observation.interpretation##34#</v>
      </c>
    </row>
    <row r="32" spans="1:15" x14ac:dyDescent="0.75">
      <c r="B32" s="62" t="str">
        <f>Results!$B$24</f>
        <v>observation.description</v>
      </c>
      <c r="C32" s="9" t="s">
        <v>635</v>
      </c>
      <c r="E32" s="14" t="str">
        <f t="shared" si="0"/>
        <v>* observation.description -&gt; ##34#Observation.text##34#</v>
      </c>
    </row>
    <row r="33" spans="2:5" x14ac:dyDescent="0.75">
      <c r="B33" s="62" t="str">
        <f>Results!$B$24</f>
        <v>observation.description</v>
      </c>
      <c r="C33" s="9" t="s">
        <v>636</v>
      </c>
      <c r="E33" s="14" t="str">
        <f t="shared" si="0"/>
        <v>* observation.description -&gt; ##34#Observation.note##34#</v>
      </c>
    </row>
    <row r="34" spans="2:5" x14ac:dyDescent="0.75">
      <c r="B34" s="9" t="str">
        <f>Results!B25</f>
        <v>observation.accreditationStatus</v>
      </c>
      <c r="C34" s="66" t="s">
        <v>354</v>
      </c>
      <c r="E34" s="14" t="str">
        <f t="shared" si="0"/>
        <v>* observation.accreditationStatus -&gt; ##34#to be mapped##34#</v>
      </c>
    </row>
    <row r="35" spans="2:5" x14ac:dyDescent="0.75">
      <c r="B35" s="9">
        <f>Results!B26</f>
        <v>0</v>
      </c>
      <c r="C35" s="9" t="s">
        <v>354</v>
      </c>
      <c r="E35" s="14" t="str">
        <f t="shared" si="0"/>
        <v>*  -&gt; ##34###34#</v>
      </c>
    </row>
    <row r="36" spans="2:5" x14ac:dyDescent="0.75">
      <c r="B36" s="9">
        <f>Results!B27</f>
        <v>0</v>
      </c>
      <c r="E36" s="14" t="str">
        <f t="shared" si="0"/>
        <v>*  -&gt; ##34###34#</v>
      </c>
    </row>
    <row r="37" spans="2:5" x14ac:dyDescent="0.75">
      <c r="B37" s="9">
        <f>Results!B28</f>
        <v>0</v>
      </c>
      <c r="E37" s="14" t="str">
        <f t="shared" si="0"/>
        <v>*  -&gt; ##34###34#</v>
      </c>
    </row>
    <row r="38" spans="2:5" x14ac:dyDescent="0.75">
      <c r="B38" s="9">
        <f>Results!B29</f>
        <v>0</v>
      </c>
      <c r="E38" s="14" t="str">
        <f t="shared" si="0"/>
        <v>*  -&gt; ##34###34#</v>
      </c>
    </row>
    <row r="39" spans="2:5" x14ac:dyDescent="0.75">
      <c r="B39" s="9">
        <f>Results!B30</f>
        <v>0</v>
      </c>
      <c r="E39" s="14"/>
    </row>
    <row r="40" spans="2:5" x14ac:dyDescent="0.75">
      <c r="B40" s="9">
        <f>Results!B31</f>
        <v>0</v>
      </c>
    </row>
    <row r="41" spans="2:5" x14ac:dyDescent="0.75">
      <c r="B41" s="9">
        <f>Results!B32</f>
        <v>0</v>
      </c>
    </row>
    <row r="42" spans="2:5" x14ac:dyDescent="0.75">
      <c r="B42" s="9">
        <f>Results!B33</f>
        <v>0</v>
      </c>
    </row>
    <row r="43" spans="2:5" x14ac:dyDescent="0.75">
      <c r="B43" s="9">
        <f>Results!B34</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election activeCell="C41" sqref="C41:C6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Results!I1</f>
        <v>// -------------------------------------------------------------------------------</v>
      </c>
    </row>
    <row r="2" spans="3:7" ht="16.75" thickBot="1" x14ac:dyDescent="0.9">
      <c r="C2" s="33" t="str">
        <f>Results!I2</f>
        <v>//  Logical Model</v>
      </c>
      <c r="G2" s="56" t="s">
        <v>484</v>
      </c>
    </row>
    <row r="3" spans="3:7" x14ac:dyDescent="0.75">
      <c r="C3" s="33" t="str">
        <f>Results!I3</f>
        <v>// -------------------------------------------------------------------------------</v>
      </c>
      <c r="G3" s="10"/>
    </row>
    <row r="4" spans="3:7" x14ac:dyDescent="0.75">
      <c r="C4" s="25" t="str">
        <f>Results!I4</f>
        <v>Logical: ResultLabEhn</v>
      </c>
    </row>
    <row r="5" spans="3:7" x14ac:dyDescent="0.75">
      <c r="C5" s="25" t="str">
        <f>Results!I5</f>
        <v>Id: Result</v>
      </c>
    </row>
    <row r="6" spans="3:7" x14ac:dyDescent="0.75">
      <c r="C6" s="25" t="str">
        <f>Results!I6</f>
        <v>Title: ##34#Results data elements (A.5)##34#</v>
      </c>
    </row>
    <row r="7" spans="3:7" x14ac:dyDescent="0.75">
      <c r="C7" s="25" t="str">
        <f>Results!I7</f>
        <v>Description:  ##334#A.5 Results data elements##334#</v>
      </c>
    </row>
    <row r="8" spans="3:7" ht="29.5" x14ac:dyDescent="0.75">
      <c r="C8" s="14" t="str">
        <f>IF(Results!I8="*  ..  ##34###34# ##334###334#","//--- END",Results!I8)</f>
        <v>* narrative 0..1 BackboneElement ##34#A.5.1 Laboratory report narrative##34# ##334#A.5.1 Laboratory report narrative##334#</v>
      </c>
    </row>
    <row r="9" spans="3:7" ht="29.5" x14ac:dyDescent="0.75">
      <c r="C9" s="14" t="str">
        <f>IF(Results!I9="*  ..  ##34###34# ##334###334#","//--- END",Results!I9)</f>
        <v>* narrative.report 0..* Narrative ##34#A.5.1.1 Narrative report##34# ##334#Entire report (textual summary inside the laboratory result report document) as issued by the laboratory.##334#</v>
      </c>
    </row>
    <row r="10" spans="3:7" ht="29.5" x14ac:dyDescent="0.75">
      <c r="C10" s="14" t="str">
        <f>IF(Results!I10="*  ..  ##34###34# ##334###334#","//--- END",Results!I10)</f>
        <v>* narrative.notes 0..* Narrative ##34#A.5.1.2 Comments, interpretation and recommendations##34# ##334#Comments, such as a textual interpretation or advice accompanying the result report, for example.##334#</v>
      </c>
      <c r="E10" t="s">
        <v>307</v>
      </c>
    </row>
    <row r="11" spans="3:7" ht="29.5" x14ac:dyDescent="0.75">
      <c r="C11" s="14" t="str">
        <f>IF(Results!I11="*  ..  ##34###34# ##334###334#","//--- END",Results!I11)</f>
        <v>* observation 0..* BackboneElement ##34#A.5.2 Observation details##34# ##334#A.5.2 Observation details (report could consist of multiple observations) ##334#</v>
      </c>
    </row>
    <row r="12" spans="3:7" ht="29.5" x14ac:dyDescent="0.75">
      <c r="C12" s="14" t="str">
        <f>IF(Results!I12="*  ..  ##34###34# ##334###334#","//--- END",Results!I12)</f>
        <v>* observation.dateTime 0..* CodeableConcept ##34#A.5.2.1 Observation date##34# ##334#Date and time of the observation - Preferred system(s): ISO 8601##334#</v>
      </c>
    </row>
    <row r="13" spans="3:7" ht="73.75" x14ac:dyDescent="0.75">
      <c r="C13" s="14" t="str">
        <f>IF(Results!I13="*  ..  ##34###34# ##334###334#","//--- END",Results!I13)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IF(Results!I14="*  ..  ##34###34# ##334###334#","//--- END",Results!I14)</f>
        <v>* observation.code.name 0..* string ##34#A.5.2.3.1 Observation name##34# ##334#Full name of the observation according to the used test coding standard.##334#</v>
      </c>
    </row>
    <row r="15" spans="3:7" ht="29.5" x14ac:dyDescent="0.75">
      <c r="C15" s="14" t="str">
        <f>IF(Results!I15="*  ..  ##34###34# ##334###334#","//--- END",Results!I15)</f>
        <v>* observation.code.originalName 0..* string ##34#A.5.2.3.2 Observation original name##34# ##334#Original (conventional) name of the observation as used by the laboratory##334#</v>
      </c>
    </row>
    <row r="16" spans="3:7" ht="29.5" x14ac:dyDescent="0.75">
      <c r="C16" s="14" t="str">
        <f>IF(Results!I16="*  ..  ##34###34# ##334###334#","//--- END",Results!I16)</f>
        <v>* observation.code.displayName 0..* string ##34#A.5.2.3.3 Observation display name##34# ##334#Simplified (short name of the observation) for display.##334#</v>
      </c>
    </row>
    <row r="17" spans="3:3" ht="44.25" x14ac:dyDescent="0.75">
      <c r="C17" s="14" t="str">
        <f>IF(Results!I17="*  ..  ##34###34# ##334###334#","//--- END",Results!I17)</f>
        <v>* observation.method 0..* CodeableConcept ##34#A.5.2.4 Observation method##34# ##334#Observation method (measurement principle) to obtain the result.
- Preferred system(s): SNOMED CT##334#</v>
      </c>
    </row>
    <row r="18" spans="3:3" ht="59" x14ac:dyDescent="0.75">
      <c r="C18" s="14" t="str">
        <f>IF(Results!I18="*  ..  ##34###34# ##334###334#","//--- END",Results!I18)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IF(Results!I19="*  ..  ##34###34# ##334###334#","//--- END",Results!I19)</f>
        <v>* observation.order 0..* BackboneElement ##34#A.5.2.8 Order##34# ##334#Identifies order and order placer this observation belongs to.##334#</v>
      </c>
    </row>
    <row r="20" spans="3:3" ht="44.25" x14ac:dyDescent="0.75">
      <c r="C20" s="14" t="str">
        <f>IF(Results!I20="*  ..  ##34###34# ##334###334#","//--- END",Results!I20)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IF(Results!I21="*  ..  ##34###34# ##334###334#","//--- END",Results!I21)</f>
        <v>* observation.reporter 0..* BackboneElement ##34#A.5.2.10 Reporter##34# ##334#With certain observation results, e.g. there may also be an interpreter or a person responsible for validation.##334#</v>
      </c>
    </row>
    <row r="22" spans="3:3" ht="73.75" x14ac:dyDescent="0.75">
      <c r="C22" s="14" t="str">
        <f>IF(Results!I22="*  ..  ##34###34# ##334###334#","//--- END",Results!I22)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IF(Results!I23="*  ..  ##34###34# ##334###334#","//--- END",Results!I23)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IF(Results!I24="*  ..  ##34###34# ##334###334#","//--- END",Results!I24)</f>
        <v>* observation.description 0..* Narrative ##34#A.5.2.13 Result description##34# ##334#Comments and narrative representation of the observation result and findings.##334#</v>
      </c>
    </row>
    <row r="25" spans="3:3" ht="29.5" x14ac:dyDescent="0.75">
      <c r="C25" s="14" t="str">
        <f>IF(Results!I25="*  ..  ##34###34# ##334###334#","//--- END",Results!I25)</f>
        <v>* observation.accreditationStatus 0..* BackboneElement ##34#A.5.2.14 Accreditation status##34# ##334#Accreditation status of the laboratory for the particular observation.##334#</v>
      </c>
    </row>
    <row r="26" spans="3:3" x14ac:dyDescent="0.75">
      <c r="C26" s="14" t="str">
        <f>IF(Results!I26="*  ..  ##34###34# ##334###334#","//--- END",Results!I26)</f>
        <v>//--- END</v>
      </c>
    </row>
    <row r="27" spans="3:3" x14ac:dyDescent="0.75">
      <c r="C27" s="14" t="str">
        <f>IF(Results!I27="*  ..  ##34###34# ##334###334#","//--- END",Results!I27)</f>
        <v>//--- END</v>
      </c>
    </row>
    <row r="28" spans="3:3" x14ac:dyDescent="0.75">
      <c r="C28" s="14" t="str">
        <f>IF(Results!I28="*  ..  ##34###34# ##334###334#","//--- END",Results!I28)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33</vt:i4>
      </vt:variant>
    </vt:vector>
  </HeadingPairs>
  <TitlesOfParts>
    <vt:vector size="33" baseType="lpstr">
      <vt:lpstr>Header</vt:lpstr>
      <vt:lpstr>Body</vt:lpstr>
      <vt:lpstr>Common</vt:lpstr>
      <vt:lpstr>Report</vt:lpstr>
      <vt:lpstr>Report-Map-1</vt:lpstr>
      <vt:lpstr>Report-fsh</vt:lpstr>
      <vt:lpstr>Subj</vt:lpstr>
      <vt:lpstr>Subj-Map-1</vt:lpstr>
      <vt:lpstr>Subj-fsh</vt:lpstr>
      <vt:lpstr>A1.3 Payer</vt:lpstr>
      <vt:lpstr>Payer-Map-1</vt:lpstr>
      <vt:lpstr>Payer-fsh</vt:lpstr>
      <vt:lpstr>A1.4 Recipient</vt:lpstr>
      <vt:lpstr>Recipient-Map-1</vt:lpstr>
      <vt:lpstr>Recipient-fsh</vt:lpstr>
      <vt:lpstr>A1.5 Author</vt:lpstr>
      <vt:lpstr>Author-Map-1</vt:lpstr>
      <vt:lpstr>Author-fsh</vt:lpstr>
      <vt:lpstr>A1.6 LegalAuth</vt:lpstr>
      <vt:lpstr>LegalAuth-Map-1</vt:lpstr>
      <vt:lpstr>LegalAuth-fsh</vt:lpstr>
      <vt:lpstr>A1.7 Validator</vt:lpstr>
      <vt:lpstr>Validator-Map-1</vt:lpstr>
      <vt:lpstr>Validator-fsh</vt:lpstr>
      <vt:lpstr>Order</vt:lpstr>
      <vt:lpstr>Order-Map-1</vt:lpstr>
      <vt:lpstr>Order-fsh</vt:lpstr>
      <vt:lpstr>Specimen</vt:lpstr>
      <vt:lpstr>Specimen-Map-1</vt:lpstr>
      <vt:lpstr>Specimen-fsh</vt:lpstr>
      <vt:lpstr>Results</vt:lpstr>
      <vt:lpstr>Results-Map-1</vt:lpstr>
      <vt:lpstr>Results-fsh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2023-01-23T15:24:52Z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