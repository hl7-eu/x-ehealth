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xeh-onlyLab\src-models\"/>
    </mc:Choice>
  </mc:AlternateContent>
  <xr:revisionPtr revIDLastSave="0" documentId="13_ncr:1_{219413CE-D4AE-45A6-9780-FA4FE3253447}" xr6:coauthVersionLast="47" xr6:coauthVersionMax="47" xr10:uidLastSave="{00000000-0000-0000-0000-000000000000}"/>
  <bookViews>
    <workbookView xWindow="-90" yWindow="-21710" windowWidth="38620" windowHeight="21100" tabRatio="819" firstSheet="14" activeTab="30"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Subj" sheetId="12" r:id="rId7"/>
    <sheet name="Subj-Map-1" sheetId="33" r:id="rId8"/>
    <sheet name="Subj-fsh" sheetId="73" r:id="rId9"/>
    <sheet name="A1.3 Payer" sheetId="111" r:id="rId10"/>
    <sheet name="Payer-Map-1" sheetId="112" r:id="rId11"/>
    <sheet name="Payer-fsh" sheetId="113" r:id="rId12"/>
    <sheet name="A1.4 Recipient" sheetId="115" r:id="rId13"/>
    <sheet name="Recipient-Map-1" sheetId="116" r:id="rId14"/>
    <sheet name="Recipient-fsh" sheetId="117" r:id="rId15"/>
    <sheet name="A1.5 Author" sheetId="124" r:id="rId16"/>
    <sheet name="Author-Map-1" sheetId="125" r:id="rId17"/>
    <sheet name="Author-fsh" sheetId="126" r:id="rId18"/>
    <sheet name="A1.6 LegalAuth" sheetId="121" r:id="rId19"/>
    <sheet name="LegalAuth-Map-1" sheetId="122" r:id="rId20"/>
    <sheet name="LegalAuth-fsh" sheetId="123" r:id="rId21"/>
    <sheet name="A1.7 Validator" sheetId="118" r:id="rId22"/>
    <sheet name="Validator-Map-1" sheetId="119" r:id="rId23"/>
    <sheet name="Validator-fsh" sheetId="120" r:id="rId24"/>
    <sheet name="Foglio1" sheetId="127" r:id="rId25"/>
    <sheet name="Order" sheetId="128" r:id="rId26"/>
    <sheet name="Order-Map-1" sheetId="129" r:id="rId27"/>
    <sheet name="Order-fsh" sheetId="130" r:id="rId28"/>
    <sheet name="Specimen" sheetId="131" r:id="rId29"/>
    <sheet name="Specimen-Map-1" sheetId="132" r:id="rId30"/>
    <sheet name="Specimen-fsh" sheetId="133" r:id="rId31"/>
    <sheet name="Results" sheetId="134" r:id="rId32"/>
    <sheet name="Results-Map-1" sheetId="135" r:id="rId33"/>
    <sheet name="Results-fsh" sheetId="136" r:id="rId3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2" i="136" l="1"/>
  <c r="C43" i="136"/>
  <c r="C44" i="136"/>
  <c r="C45" i="136"/>
  <c r="C46" i="136"/>
  <c r="C47" i="136"/>
  <c r="C48" i="136"/>
  <c r="C49" i="136"/>
  <c r="C50" i="136"/>
  <c r="C51" i="136"/>
  <c r="C52" i="136"/>
  <c r="C53" i="136"/>
  <c r="C54" i="136"/>
  <c r="C55" i="136"/>
  <c r="C56" i="136"/>
  <c r="C57" i="136"/>
  <c r="C58" i="136"/>
  <c r="C59" i="136"/>
  <c r="C60" i="136"/>
  <c r="C61" i="136"/>
  <c r="C27" i="136"/>
  <c r="C28" i="136"/>
  <c r="C9" i="136"/>
  <c r="C10" i="136"/>
  <c r="C11" i="136"/>
  <c r="C12" i="136"/>
  <c r="C13" i="136"/>
  <c r="C14" i="136"/>
  <c r="C15" i="136"/>
  <c r="C16" i="136"/>
  <c r="C17" i="136"/>
  <c r="C18" i="136"/>
  <c r="C19" i="136"/>
  <c r="C20" i="136"/>
  <c r="C21" i="136"/>
  <c r="C22" i="136"/>
  <c r="C23" i="136"/>
  <c r="C24" i="136"/>
  <c r="C25" i="136"/>
  <c r="C26" i="136"/>
  <c r="E21" i="135"/>
  <c r="E22" i="135"/>
  <c r="E23" i="135"/>
  <c r="E24" i="135"/>
  <c r="E25" i="135"/>
  <c r="E26" i="135"/>
  <c r="E27" i="135"/>
  <c r="E28" i="135"/>
  <c r="E29" i="135"/>
  <c r="E30" i="135"/>
  <c r="E31" i="135"/>
  <c r="B11" i="135"/>
  <c r="B12" i="135"/>
  <c r="B13" i="135"/>
  <c r="B14" i="135"/>
  <c r="B15" i="135"/>
  <c r="B16" i="135"/>
  <c r="E16" i="135" s="1"/>
  <c r="B17" i="135"/>
  <c r="B18" i="135"/>
  <c r="B19" i="135"/>
  <c r="B20" i="135"/>
  <c r="B21" i="135"/>
  <c r="B22" i="135"/>
  <c r="B23" i="135"/>
  <c r="B24" i="135"/>
  <c r="B25" i="135"/>
  <c r="B26" i="135"/>
  <c r="B27" i="135"/>
  <c r="B28" i="135"/>
  <c r="B29" i="135"/>
  <c r="B30" i="135"/>
  <c r="B31" i="135"/>
  <c r="B32" i="135"/>
  <c r="B33" i="135"/>
  <c r="B34" i="135"/>
  <c r="B35" i="135"/>
  <c r="B36" i="135"/>
  <c r="I10" i="134"/>
  <c r="I11" i="134"/>
  <c r="I12" i="134"/>
  <c r="I13" i="134"/>
  <c r="I14" i="134"/>
  <c r="I15" i="134"/>
  <c r="I16" i="134"/>
  <c r="I17" i="134"/>
  <c r="I18" i="134"/>
  <c r="I19" i="134"/>
  <c r="I20" i="134"/>
  <c r="I21" i="134"/>
  <c r="I22" i="134"/>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40" i="136"/>
  <c r="C38" i="136"/>
  <c r="C32" i="136"/>
  <c r="C31" i="136"/>
  <c r="C2" i="136"/>
  <c r="C1" i="136"/>
  <c r="E20" i="135"/>
  <c r="E19" i="135"/>
  <c r="E18" i="135"/>
  <c r="E17" i="135"/>
  <c r="E15" i="135"/>
  <c r="E14" i="135"/>
  <c r="E13" i="135"/>
  <c r="E12" i="135"/>
  <c r="E11" i="135"/>
  <c r="B10" i="135"/>
  <c r="E10" i="135" s="1"/>
  <c r="C41" i="136" s="1"/>
  <c r="E9" i="135"/>
  <c r="B9" i="135"/>
  <c r="C7" i="135" s="1"/>
  <c r="E7" i="135" s="1"/>
  <c r="C37" i="136" s="1"/>
  <c r="E8" i="135"/>
  <c r="E6" i="135"/>
  <c r="C36" i="136" s="1"/>
  <c r="E5" i="135"/>
  <c r="C35" i="136" s="1"/>
  <c r="E4" i="135"/>
  <c r="C34" i="136" s="1"/>
  <c r="E3" i="135"/>
  <c r="C33" i="136" s="1"/>
  <c r="I38" i="134"/>
  <c r="B36" i="134"/>
  <c r="I9" i="134"/>
  <c r="I8" i="134"/>
  <c r="C8" i="136" s="1"/>
  <c r="I7" i="134"/>
  <c r="C7" i="136" s="1"/>
  <c r="I6" i="134"/>
  <c r="C6" i="136" s="1"/>
  <c r="I5" i="134"/>
  <c r="C5" i="136" s="1"/>
  <c r="I4" i="134"/>
  <c r="C4" i="136" s="1"/>
  <c r="I3" i="134"/>
  <c r="C3" i="136" s="1"/>
  <c r="B13" i="132"/>
  <c r="B14" i="132"/>
  <c r="B15" i="132"/>
  <c r="B16" i="132"/>
  <c r="B17" i="132"/>
  <c r="E17" i="132" s="1"/>
  <c r="C47" i="133" s="1"/>
  <c r="B18" i="132"/>
  <c r="E18" i="132" s="1"/>
  <c r="C48" i="133" s="1"/>
  <c r="B19" i="132"/>
  <c r="B20" i="132"/>
  <c r="E20" i="132" s="1"/>
  <c r="C50" i="133" s="1"/>
  <c r="B21" i="132"/>
  <c r="B22" i="132"/>
  <c r="I18" i="131"/>
  <c r="C18" i="133" s="1"/>
  <c r="I11" i="131"/>
  <c r="C11" i="133" s="1"/>
  <c r="I28" i="131"/>
  <c r="I29" i="131"/>
  <c r="I30" i="131"/>
  <c r="I31" i="131"/>
  <c r="I32" i="131"/>
  <c r="I33" i="131"/>
  <c r="I34" i="131"/>
  <c r="I35" i="131"/>
  <c r="I36" i="131"/>
  <c r="I37" i="131"/>
  <c r="I19" i="131"/>
  <c r="C19" i="133" s="1"/>
  <c r="I12" i="131"/>
  <c r="C12" i="133" s="1"/>
  <c r="B34" i="131"/>
  <c r="B35" i="131"/>
  <c r="B36" i="131"/>
  <c r="B37" i="131"/>
  <c r="C33" i="133"/>
  <c r="C31" i="133"/>
  <c r="C30" i="133"/>
  <c r="C2" i="133"/>
  <c r="C1" i="133"/>
  <c r="E21" i="132"/>
  <c r="C51" i="133" s="1"/>
  <c r="E19" i="132"/>
  <c r="C49" i="133" s="1"/>
  <c r="E16" i="132"/>
  <c r="C46" i="133" s="1"/>
  <c r="E15" i="132"/>
  <c r="C45" i="133" s="1"/>
  <c r="E14" i="132"/>
  <c r="C44" i="133" s="1"/>
  <c r="E13" i="132"/>
  <c r="C43" i="133" s="1"/>
  <c r="B12" i="132"/>
  <c r="E12" i="132" s="1"/>
  <c r="C42" i="133" s="1"/>
  <c r="B11" i="132"/>
  <c r="E11" i="132" s="1"/>
  <c r="C41" i="133"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C17" i="133" s="1"/>
  <c r="I16" i="131"/>
  <c r="C16" i="133" s="1"/>
  <c r="I15" i="131"/>
  <c r="C15" i="133" s="1"/>
  <c r="I14" i="131"/>
  <c r="C14" i="133" s="1"/>
  <c r="I13" i="131"/>
  <c r="C13" i="133" s="1"/>
  <c r="I10" i="131"/>
  <c r="C10" i="133" s="1"/>
  <c r="I9" i="131"/>
  <c r="C9" i="133" s="1"/>
  <c r="I8" i="131"/>
  <c r="C8" i="133" s="1"/>
  <c r="I7" i="131"/>
  <c r="C7" i="133" s="1"/>
  <c r="I6" i="131"/>
  <c r="C6" i="133" s="1"/>
  <c r="I5" i="131"/>
  <c r="C5" i="133" s="1"/>
  <c r="I4" i="131"/>
  <c r="C4" i="133" s="1"/>
  <c r="I3" i="131"/>
  <c r="C3" i="133" s="1"/>
  <c r="I15" i="128"/>
  <c r="I16" i="128"/>
  <c r="I17" i="128"/>
  <c r="C17" i="130" s="1"/>
  <c r="I18" i="128"/>
  <c r="I19" i="128"/>
  <c r="C47" i="130"/>
  <c r="C48" i="130"/>
  <c r="C49" i="130"/>
  <c r="C50" i="130"/>
  <c r="C51" i="130"/>
  <c r="C14" i="130"/>
  <c r="C15" i="130"/>
  <c r="C16" i="130"/>
  <c r="C18" i="130"/>
  <c r="C19" i="130"/>
  <c r="E19" i="129"/>
  <c r="E20" i="129"/>
  <c r="E21" i="129"/>
  <c r="B19" i="129"/>
  <c r="B20" i="129"/>
  <c r="B11" i="129"/>
  <c r="E11" i="129" s="1"/>
  <c r="C41" i="130" s="1"/>
  <c r="B12" i="129"/>
  <c r="B13" i="129"/>
  <c r="E13" i="129" s="1"/>
  <c r="C43" i="130" s="1"/>
  <c r="B14" i="129"/>
  <c r="B15" i="129"/>
  <c r="E15" i="129" s="1"/>
  <c r="C45" i="130" s="1"/>
  <c r="B16" i="129"/>
  <c r="B17" i="129"/>
  <c r="B18"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E18" i="129"/>
  <c r="E17" i="129"/>
  <c r="E16" i="129"/>
  <c r="C46" i="130" s="1"/>
  <c r="E14" i="129"/>
  <c r="C44" i="130" s="1"/>
  <c r="E12" i="129"/>
  <c r="C42" i="130" s="1"/>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C13" i="130" s="1"/>
  <c r="I12" i="128"/>
  <c r="C12" i="130" s="1"/>
  <c r="I11" i="128"/>
  <c r="C11" i="130" s="1"/>
  <c r="I7" i="128"/>
  <c r="C7" i="130" s="1"/>
  <c r="I5" i="128"/>
  <c r="C5" i="130" s="1"/>
  <c r="I4" i="128"/>
  <c r="C4" i="130" s="1"/>
  <c r="I3" i="128"/>
  <c r="C3" i="130" s="1"/>
  <c r="C41" i="110"/>
  <c r="C42" i="110"/>
  <c r="C43" i="110"/>
  <c r="C44" i="110"/>
  <c r="C45" i="110"/>
  <c r="C46" i="110"/>
  <c r="C47" i="110"/>
  <c r="C48" i="110"/>
  <c r="C49" i="110"/>
  <c r="C50" i="110"/>
  <c r="C51" i="110"/>
  <c r="C52" i="110"/>
  <c r="C53" i="110"/>
  <c r="C54" i="110"/>
  <c r="C55" i="110"/>
  <c r="C56" i="110"/>
  <c r="C57" i="110"/>
  <c r="C58" i="110"/>
  <c r="C40" i="110"/>
  <c r="C9" i="110"/>
  <c r="C10" i="110"/>
  <c r="C11" i="110"/>
  <c r="C12" i="110"/>
  <c r="C13" i="110"/>
  <c r="C14" i="110"/>
  <c r="C16" i="110"/>
  <c r="C17" i="110"/>
  <c r="C18" i="110"/>
  <c r="C19" i="110"/>
  <c r="C20" i="110"/>
  <c r="C24" i="110"/>
  <c r="C25" i="110"/>
  <c r="I10" i="108"/>
  <c r="E10" i="109"/>
  <c r="E11" i="109"/>
  <c r="E12" i="109"/>
  <c r="E13" i="109"/>
  <c r="E14" i="109"/>
  <c r="E15" i="109"/>
  <c r="E16" i="109"/>
  <c r="E17" i="109"/>
  <c r="E18" i="109"/>
  <c r="E19" i="109"/>
  <c r="E20" i="109"/>
  <c r="E21" i="109"/>
  <c r="E22" i="109"/>
  <c r="E23" i="109"/>
  <c r="E24" i="109"/>
  <c r="E25" i="109"/>
  <c r="E26" i="109"/>
  <c r="E27" i="109"/>
  <c r="E28" i="109"/>
  <c r="E29" i="109"/>
  <c r="E30" i="109"/>
  <c r="E31" i="109"/>
  <c r="B11" i="109"/>
  <c r="B12" i="109"/>
  <c r="B13" i="109"/>
  <c r="B14" i="109"/>
  <c r="B15" i="109"/>
  <c r="B16" i="109"/>
  <c r="B17" i="109"/>
  <c r="B18" i="109"/>
  <c r="B19" i="109"/>
  <c r="B20" i="109"/>
  <c r="B21" i="109"/>
  <c r="B22" i="109"/>
  <c r="B23" i="109"/>
  <c r="B24" i="109"/>
  <c r="B25" i="109"/>
  <c r="B26" i="109"/>
  <c r="B27" i="109"/>
  <c r="B28" i="109"/>
  <c r="B29" i="109"/>
  <c r="B30" i="109"/>
  <c r="B31" i="109"/>
  <c r="B32" i="109"/>
  <c r="B33" i="109"/>
  <c r="B34" i="109"/>
  <c r="B35" i="109"/>
  <c r="B36" i="109"/>
  <c r="B37" i="109"/>
  <c r="B38" i="109"/>
  <c r="B39" i="109"/>
  <c r="B40" i="109"/>
  <c r="B41" i="109"/>
  <c r="B42" i="109"/>
  <c r="B43" i="109"/>
  <c r="I10" i="124"/>
  <c r="C10" i="126" s="1"/>
  <c r="I8" i="124"/>
  <c r="C8" i="126" s="1"/>
  <c r="C31" i="126"/>
  <c r="C30" i="126"/>
  <c r="C2" i="126"/>
  <c r="C1" i="126"/>
  <c r="E18" i="125"/>
  <c r="E17" i="125"/>
  <c r="E16" i="125"/>
  <c r="C46" i="126" s="1"/>
  <c r="B15" i="125"/>
  <c r="E15" i="125" s="1"/>
  <c r="C45" i="126" s="1"/>
  <c r="B14" i="125"/>
  <c r="E14" i="125" s="1"/>
  <c r="C44" i="126" s="1"/>
  <c r="E13" i="125"/>
  <c r="C43" i="126" s="1"/>
  <c r="B13" i="125"/>
  <c r="E12" i="125"/>
  <c r="C42" i="126" s="1"/>
  <c r="B12" i="125"/>
  <c r="B11" i="125"/>
  <c r="E11" i="125" s="1"/>
  <c r="C41" i="126" s="1"/>
  <c r="B10" i="125"/>
  <c r="E10" i="125" s="1"/>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2" i="108"/>
  <c r="I13" i="108"/>
  <c r="I14" i="108"/>
  <c r="I15" i="108"/>
  <c r="C15" i="110" s="1"/>
  <c r="I16" i="108"/>
  <c r="I17" i="108"/>
  <c r="I18" i="108"/>
  <c r="I19" i="108"/>
  <c r="I20" i="108"/>
  <c r="I21" i="108"/>
  <c r="C21" i="110" s="1"/>
  <c r="I22" i="108"/>
  <c r="C22" i="110" s="1"/>
  <c r="I23" i="108"/>
  <c r="C23" i="110" s="1"/>
  <c r="I24" i="108"/>
  <c r="I25" i="108"/>
  <c r="I11" i="121"/>
  <c r="C11" i="123" s="1"/>
  <c r="I8" i="121"/>
  <c r="C8" i="123" s="1"/>
  <c r="C39" i="123"/>
  <c r="C31" i="123"/>
  <c r="C30" i="123"/>
  <c r="C2" i="123"/>
  <c r="C1" i="123"/>
  <c r="E18" i="122"/>
  <c r="E17" i="122"/>
  <c r="E16" i="122"/>
  <c r="C46" i="123" s="1"/>
  <c r="B15" i="122"/>
  <c r="E15" i="122" s="1"/>
  <c r="C45" i="123" s="1"/>
  <c r="B14" i="122"/>
  <c r="E14" i="122" s="1"/>
  <c r="C44" i="123" s="1"/>
  <c r="B13" i="122"/>
  <c r="E13" i="122" s="1"/>
  <c r="C43" i="123" s="1"/>
  <c r="E12" i="122"/>
  <c r="C42" i="123" s="1"/>
  <c r="B12" i="122"/>
  <c r="B11" i="122"/>
  <c r="E11" i="122" s="1"/>
  <c r="C41" i="123" s="1"/>
  <c r="B10" i="122"/>
  <c r="E10" i="122" s="1"/>
  <c r="C40" i="123" s="1"/>
  <c r="E9" i="122"/>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9" i="120"/>
  <c r="C31" i="120"/>
  <c r="C30" i="120"/>
  <c r="C2" i="120"/>
  <c r="C1" i="120"/>
  <c r="E18" i="119"/>
  <c r="E17" i="119"/>
  <c r="E16" i="119"/>
  <c r="C46" i="120" s="1"/>
  <c r="B15" i="119"/>
  <c r="E15" i="119" s="1"/>
  <c r="C45" i="120" s="1"/>
  <c r="B14" i="119"/>
  <c r="E14" i="119" s="1"/>
  <c r="C44" i="120" s="1"/>
  <c r="B13" i="119"/>
  <c r="E13" i="119" s="1"/>
  <c r="C43" i="120" s="1"/>
  <c r="E12" i="119"/>
  <c r="C42" i="120" s="1"/>
  <c r="B12" i="119"/>
  <c r="B11" i="119"/>
  <c r="E11" i="119" s="1"/>
  <c r="C41" i="120" s="1"/>
  <c r="B10" i="119"/>
  <c r="E10" i="119" s="1"/>
  <c r="C40" i="120" s="1"/>
  <c r="E9" i="119"/>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9" i="117"/>
  <c r="C31" i="117"/>
  <c r="C30" i="117"/>
  <c r="C2" i="117"/>
  <c r="C1" i="117"/>
  <c r="E18" i="116"/>
  <c r="E17" i="116"/>
  <c r="E16" i="116"/>
  <c r="C46" i="117" s="1"/>
  <c r="B15" i="116"/>
  <c r="E15" i="116" s="1"/>
  <c r="C45" i="117" s="1"/>
  <c r="E14" i="116"/>
  <c r="C44" i="117" s="1"/>
  <c r="B14" i="116"/>
  <c r="B13" i="116"/>
  <c r="E13" i="116" s="1"/>
  <c r="C43" i="117" s="1"/>
  <c r="E9" i="116"/>
  <c r="B9" i="116"/>
  <c r="C7" i="116" s="1"/>
  <c r="E7" i="116" s="1"/>
  <c r="C36" i="117" s="1"/>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B14" i="112"/>
  <c r="B15" i="112"/>
  <c r="E15" i="112" s="1"/>
  <c r="C45" i="113" s="1"/>
  <c r="E10" i="112"/>
  <c r="E11" i="112"/>
  <c r="E12" i="112"/>
  <c r="C42" i="113" s="1"/>
  <c r="E13" i="112"/>
  <c r="C43" i="113" s="1"/>
  <c r="E16" i="112"/>
  <c r="E17" i="112"/>
  <c r="E18" i="112"/>
  <c r="E14" i="112"/>
  <c r="C44" i="113" s="1"/>
  <c r="C41" i="113"/>
  <c r="I8" i="111"/>
  <c r="C8" i="113" s="1"/>
  <c r="E19" i="33"/>
  <c r="C49" i="73" s="1"/>
  <c r="E20" i="33"/>
  <c r="C50" i="73" s="1"/>
  <c r="I17" i="12"/>
  <c r="C17" i="73" s="1"/>
  <c r="I18" i="12"/>
  <c r="C18" i="73" s="1"/>
  <c r="I19" i="12"/>
  <c r="C19" i="73" s="1"/>
  <c r="C41" i="73"/>
  <c r="C42" i="73"/>
  <c r="C43" i="73"/>
  <c r="C44" i="73"/>
  <c r="C45" i="73"/>
  <c r="C46" i="73"/>
  <c r="C47" i="73"/>
  <c r="C48" i="73"/>
  <c r="C40" i="73"/>
  <c r="C9" i="73"/>
  <c r="C10" i="73"/>
  <c r="C11" i="73"/>
  <c r="C12" i="73"/>
  <c r="C13" i="73"/>
  <c r="C14" i="73"/>
  <c r="C15" i="73"/>
  <c r="C16" i="73"/>
  <c r="C8" i="73"/>
  <c r="I26" i="108"/>
  <c r="C34" i="113"/>
  <c r="C31" i="113"/>
  <c r="C30" i="113"/>
  <c r="C2" i="113"/>
  <c r="C1" i="113"/>
  <c r="C46"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I10" i="12"/>
  <c r="I11" i="12"/>
  <c r="I12" i="12"/>
  <c r="I13" i="12"/>
  <c r="I14" i="12"/>
  <c r="I15" i="12"/>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I9" i="108"/>
  <c r="I11" i="108"/>
  <c r="C31" i="110"/>
  <c r="C30" i="110"/>
  <c r="C2" i="110"/>
  <c r="C1" i="110"/>
  <c r="B10" i="109"/>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B11" i="116" l="1"/>
  <c r="E11" i="116" s="1"/>
  <c r="C41" i="117" s="1"/>
  <c r="B12" i="116"/>
  <c r="E12" i="116" s="1"/>
  <c r="C42" i="117" s="1"/>
  <c r="B10" i="116"/>
  <c r="E10" i="116" s="1"/>
  <c r="C40" i="117" s="1"/>
  <c r="C40" i="113"/>
  <c r="E12" i="33"/>
  <c r="E16" i="33"/>
  <c r="E14" i="33" l="1"/>
</calcChain>
</file>

<file path=xl/sharedStrings.xml><?xml version="1.0" encoding="utf-8"?>
<sst xmlns="http://schemas.openxmlformats.org/spreadsheetml/2006/main" count="1310" uniqueCount="564">
  <si>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</si>
  <si>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</si>
  <si>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</si>
  <si>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</si>
  <si>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</si>
  <si>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</si>
  <si>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</si>
  <si>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</si>
  <si>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</si>
  <si>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</si>
  <si>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</si>
  <si>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</si>
  <si>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</si>
  <si>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</si>
  <si>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</si>
  <si>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</si>
  <si>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</si>
  <si>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</si>
  <si>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</si>
  <si>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</si>
  <si>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</si>
  <si>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</si>
  <si>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</si>
  <si>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</si>
  <si>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</si>
  <si>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</si>
  <si>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</si>
  <si>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</si>
  <si>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</si>
  <si>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</si>
  <si>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</si>
  <si>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</si>
  <si>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</si>
  <si>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</si>
  <si>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</si>
  <si>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</si>
  <si>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</si>
  <si>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</si>
  <si>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</si>
  <si>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</si>
  <si>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</si>
  <si>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</si>
  <si>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</si>
  <si>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</si>
  <si>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</si>
  <si>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</si>
  <si>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</si>
  <si>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</si>
  <si>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</si>
  <si>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</si>
  <si>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</si>
  <si>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</si>
  <si>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</si>
  <si>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</si>
  <si>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</si>
  <si>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</si>
  <si>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</si>
  <si>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</si>
  <si>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</si>
  <si>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</si>
  <si>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</si>
  <si>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</si>
  <si>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</si>
  <si>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</si>
  <si>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</si>
  <si>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</si>
  <si>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</si>
  <si>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</si>
  <si>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</si>
  <si>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</si>
  <si>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</si>
  <si>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</si>
  <si>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</si>
  <si>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</si>
  <si>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</si>
  <si>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</si>
  <si>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</si>
  <si>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</si>
  <si>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</si>
  <si>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</si>
  <si>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</si>
  <si>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</si>
  <si>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</si>
  <si>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</si>
  <si>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</si>
  <si>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</si>
  <si>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</si>
  <si>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</si>
  <si>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</si>
  <si>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</si>
  <si>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</si>
  <si>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</si>
  <si>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</si>
  <si>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</si>
  <si>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</si>
  <si>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</si>
  <si>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</si>
  <si>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</si>
  <si>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</si>
  <si>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</si>
  <si>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</si>
  <si>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</si>
  <si>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</si>
  <si>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</si>
  <si>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</si>
  <si>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</si>
  <si>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</si>
  <si>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</si>
  <si>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</si>
  <si>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</si>
  <si>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</si>
  <si>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</si>
  <si>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</si>
  <si>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</si>
  <si>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</si>
  <si>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</si>
  <si>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</si>
  <si>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</si>
  <si>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</si>
  <si>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</si>
  <si>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</si>
  <si>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</si>
  <si>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</si>
  <si>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</si>
  <si>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</si>
  <si>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</si>
  <si>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</si>
  <si>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</si>
  <si>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</si>
  <si>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</si>
  <si>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</si>
  <si>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</si>
  <si>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</si>
  <si>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</si>
  <si>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</si>
  <si>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</si>
  <si>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</si>
  <si>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</si>
  <si>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</si>
  <si>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</si>
  <si>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</si>
  <si>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</si>
  <si>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</si>
  <si>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</si>
  <si>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</si>
  <si>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</si>
  <si>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</si>
  <si>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</si>
  <si>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</si>
  <si>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</si>
  <si>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</si>
  <si>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</si>
  <si>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</si>
  <si>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</si>
  <si>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</si>
  <si>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</si>
  <si>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</si>
  <si>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</si>
  <si>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</si>
  <si>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</si>
  <si>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</si>
  <si>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</si>
  <si>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</si>
  <si>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</si>
  <si>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</si>
  <si>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</si>
  <si>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</si>
  <si>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</si>
  <si>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</si>
  <si>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</si>
  <si>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</si>
  <si>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</si>
  <si>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</si>
  <si>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</si>
  <si>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</si>
  <si>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</si>
  <si>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</si>
  <si>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</si>
  <si>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</si>
  <si>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</si>
  <si>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</si>
  <si>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</si>
  <si>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</si>
  <si>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</si>
  <si>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</si>
  <si>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</si>
  <si>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</si>
  <si>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</si>
  <si>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</si>
  <si>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</si>
  <si>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</si>
  <si>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</si>
  <si>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</si>
  <si>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</si>
  <si>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</si>
  <si>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</si>
  <si>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</si>
  <si>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</si>
  <si>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</si>
  <si>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</si>
  <si>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</si>
  <si>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</si>
  <si>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</si>
  <si>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</si>
  <si>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</si>
  <si>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</si>
  <si>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</si>
  <si>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</si>
  <si>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</si>
  <si>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</si>
  <si>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</si>
  <si>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</si>
  <si>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</si>
  <si>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</si>
  <si>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</si>
  <si>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</si>
  <si>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</si>
  <si>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</si>
  <si>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</si>
  <si>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</si>
  <si>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</si>
  <si>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</si>
  <si>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</si>
  <si>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</si>
  <si>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</si>
  <si>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</si>
  <si>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</si>
  <si>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</si>
  <si>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</si>
  <si>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</si>
  <si>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</si>
  <si>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</si>
  <si>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</si>
  <si>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</si>
  <si>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</si>
  <si>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</si>
  <si>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</si>
  <si>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</si>
  <si>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</si>
  <si>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</si>
  <si>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</si>
  <si>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</si>
  <si>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</si>
  <si>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</si>
  <si>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</si>
  <si>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</si>
  <si>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</si>
  <si>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</si>
  <si>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</si>
  <si>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</si>
  <si>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</si>
  <si>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</si>
  <si>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</si>
  <si>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</si>
  <si>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</si>
  <si>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</si>
  <si>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</si>
  <si>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</si>
  <si>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</si>
  <si>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</si>
  <si>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</si>
  <si>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</si>
  <si>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</si>
  <si>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</si>
  <si>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</si>
  <si>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</si>
  <si>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</si>
  <si>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</si>
  <si>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</si>
  <si>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</si>
  <si>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</si>
  <si>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</si>
  <si>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</si>
  <si>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</si>
  <si>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</si>
  <si>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</si>
  <si>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</si>
  <si>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</si>
  <si>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</si>
  <si>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To be mapped</t>
  </si>
  <si>
    <t>Composition.subject</t>
  </si>
  <si>
    <t>Bundle.timestamp</t>
  </si>
  <si>
    <t>Composition.status</t>
  </si>
  <si>
    <t>Composition.title</t>
  </si>
  <si>
    <t>.extension('http://hl7.org/fhir/StructureDefinition/cqf-receivingOrganization')</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</si>
  <si>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</si>
  <si>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</si>
  <si>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</si>
  <si>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</si>
  <si>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</si>
  <si>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</si>
  <si>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</si>
  <si>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</si>
  <si>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</si>
  <si>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</si>
  <si>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</si>
  <si>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</si>
  <si>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</si>
  <si>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</si>
  <si>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</si>
  <si>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</si>
  <si>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</si>
  <si>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</si>
  <si>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</si>
  <si>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</si>
  <si>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</si>
  <si>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</si>
  <si>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</si>
  <si>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</si>
  <si>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address-telecom</t>
  </si>
  <si>
    <t>address-telecom.address</t>
  </si>
  <si>
    <t>address-telecom.telecom</t>
  </si>
  <si>
    <t xml:space="preserve"> </t>
  </si>
  <si>
    <t>A.1.1.1 Familyname/surname</t>
  </si>
  <si>
    <t>A.1.1 Identification of the patient/subject</t>
  </si>
  <si>
    <t xml:space="preserve">A.1.1.2 Given name </t>
  </si>
  <si>
    <t xml:space="preserve">The given name/first name of the patient (also known as forename or first name). This field can contain more than one element. </t>
  </si>
  <si>
    <t xml:space="preserve">A.1.1.3 Date of birth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</si>
  <si>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</si>
  <si>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A.1.1.4 Personal identifier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</si>
  <si>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</si>
  <si>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</si>
  <si>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 xml:space="preserve">A.1.2 Patient/subject related contact information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</si>
  <si>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</si>
  <si>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</si>
  <si>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</si>
  <si>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</si>
  <si>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</si>
  <si>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</si>
  <si>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</si>
  <si>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</si>
  <si>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</si>
  <si>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</si>
  <si>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</si>
  <si>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</si>
  <si>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</si>
  <si>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</si>
  <si>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</si>
  <si>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</si>
  <si>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</si>
  <si>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</si>
  <si>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</si>
  <si>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</si>
  <si>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</si>
  <si>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</si>
  <si>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</si>
  <si>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</si>
  <si>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</si>
  <si>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</si>
  <si>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</si>
  <si>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xml:space="preserve">Composition.section.entry.resolve(); Composition.section.section.entry.resolve() </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</si>
  <si>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</si>
  <si>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</si>
  <si>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</si>
  <si>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</si>
  <si>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</si>
  <si>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</si>
  <si>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</si>
  <si>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</si>
  <si>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</si>
  <si>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</si>
  <si>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</si>
  <si>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</si>
  <si>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</si>
  <si>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</si>
  <si>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</si>
  <si>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</si>
  <si>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</si>
  <si>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</si>
  <si>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</si>
  <si>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</si>
  <si>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</si>
  <si>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</si>
  <si>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</si>
  <si>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</si>
  <si>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</si>
  <si>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</si>
  <si>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A.1.4.3 Recipient organization </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</si>
  <si>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</si>
  <si>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</si>
  <si>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</si>
  <si>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</si>
  <si>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</si>
  <si>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</si>
  <si>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</si>
  <si>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</si>
  <si>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</si>
  <si>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</si>
  <si>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</si>
  <si>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A.1.7.2 Result validator name</t>
  </si>
  <si>
    <t>A.1.7.3 Result validator organisation </t>
  </si>
  <si>
    <t>A.1.7.4 Validation date and time</t>
  </si>
  <si>
    <t xml:space="preserve">The health professional identification number. Either an internal identifier assign by a healthcare provider institution or (preferably) a national health professional ID such as the license or registration number.  - Preferred system(s): </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</si>
  <si>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</si>
  <si>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</si>
  <si>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</si>
  <si>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</si>
  <si>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</si>
  <si>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</si>
  <si>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A.1.6.3 Legal authenticator organization </t>
  </si>
  <si>
    <t>A.1.6.4 Authentication date and time</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</si>
  <si>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</si>
  <si>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</si>
  <si>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</si>
  <si>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</si>
  <si>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</si>
  <si>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</si>
  <si>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</si>
  <si>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and payment information (A.1.3 )</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</si>
  <si>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</si>
  <si>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</si>
  <si>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</si>
  <si>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</si>
  <si>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</si>
  <si>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 xml:space="preserve">A.1.6 Legal authenticator </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</si>
  <si>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</si>
  <si>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</si>
  <si>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</si>
  <si>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</si>
  <si>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</si>
  <si>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</si>
  <si>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</si>
  <si>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</si>
  <si>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A.1.5.3 Author organization </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</si>
  <si>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</si>
  <si>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</si>
  <si>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</si>
  <si>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</si>
  <si>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</si>
  <si>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</si>
  <si>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</si>
  <si>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</si>
  <si>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</si>
  <si>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</si>
  <si>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</si>
  <si>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</si>
  <si>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</si>
  <si>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</si>
  <si>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</si>
  <si>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</si>
  <si>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</si>
  <si>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</si>
  <si>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A.2.6 Order placer organization </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</si>
  <si>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</si>
  <si>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</si>
  <si>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</si>
  <si>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</si>
  <si>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</si>
  <si>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</si>
  <si>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</si>
  <si>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</si>
  <si>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</si>
  <si>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</si>
  <si>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</si>
  <si>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</si>
  <si>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</si>
  <si>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</si>
  <si>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</si>
  <si>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</si>
  <si>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</si>
  <si>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</si>
  <si>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</si>
  <si>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</si>
  <si>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</si>
  <si>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</si>
  <si>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</si>
  <si>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</si>
  <si>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</si>
  <si>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</si>
  <si>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</si>
  <si>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 xml:space="preserve">A.4 Specimen information </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</si>
  <si>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</si>
  <si>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</si>
  <si>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</si>
  <si>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</si>
  <si>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</si>
  <si>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</si>
  <si>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</si>
  <si>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</si>
  <si>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</si>
  <si>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</si>
  <si>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</si>
  <si>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</si>
  <si>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</si>
  <si>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</si>
  <si>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</si>
  <si>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</si>
  <si>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</si>
  <si>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</si>
  <si>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</si>
  <si>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</si>
  <si>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</si>
  <si>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</si>
  <si>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</si>
  <si>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</si>
  <si>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</si>
  <si>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</si>
  <si>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</si>
  <si>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</si>
  <si>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</si>
  <si>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</si>
  <si>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</si>
  <si>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</si>
  <si>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</si>
  <si>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</si>
  <si>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</si>
  <si>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</si>
  <si>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 xml:space="preserve">A.5 Results data elements </t>
  </si>
  <si>
    <t xml:space="preserve">A.5.1 Laboratory report narrative  </t>
  </si>
  <si>
    <t>A.5.1.1 Narrative report</t>
  </si>
  <si>
    <t>A.5.1.2 Comments, interpretation and recommendations</t>
  </si>
  <si>
    <t xml:space="preserve">A.5.2 Observation details (report could consist of multiple observations) </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</si>
  <si>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</si>
  <si>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</si>
  <si>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</si>
  <si>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</si>
  <si>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</si>
  <si>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</si>
  <si>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</si>
  <si>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</si>
  <si>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</si>
  <si>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</si>
  <si>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</si>
  <si>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</si>
  <si>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</si>
  <si>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</si>
  <si>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 xml:space="preserve">Entire report (textual summary inside the laboratory result report document) as issued by the laboratory.  - Preferred system(s): </t>
  </si>
  <si>
    <t xml:space="preserve">Comments, such as a textual interpretation or advice accompanying the result report, for example. - Preferred system(s): </t>
  </si>
  <si>
    <t>Date and time of the observation - Preferred system(s): ISO 8601</t>
  </si>
  <si>
    <t xml:space="preserve">Full name of the observation according to the used test coding standard. - Preferred system(s): </t>
  </si>
  <si>
    <t xml:space="preserve">Original (conventional) name of the observation as used by the laboratory - Preferred system(s): </t>
  </si>
  <si>
    <t xml:space="preserve">Simplified (short name of the observation) for display. - Preferred system(s): </t>
  </si>
  <si>
    <t xml:space="preserve">Identifies the originator/author and provides provenance information about the source of the results data that may have not originated with the source of the whole Laboratory Report document.  - Preferred system(s): </t>
  </si>
  <si>
    <t xml:space="preserve">With certain observation results, e.g. there may also be an interpreter or a person responsible for validation. - Preferred system(s): </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</si>
  <si>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</si>
  <si>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</si>
  <si>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</si>
  <si>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</si>
  <si>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</si>
  <si>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</si>
  <si>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</si>
  <si>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</si>
  <si>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</si>
  <si>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</si>
  <si>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</si>
  <si>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</si>
  <si>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</si>
  <si>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</si>
  <si>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</si>
  <si>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</si>
  <si>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</si>
  <si>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</si>
  <si>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</si>
  <si>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</si>
  <si>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</si>
  <si>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</si>
  <si>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</si>
  <si>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</si>
  <si>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</si>
  <si>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</si>
  <si>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</si>
  <si>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</si>
  <si>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Specimen-eHN</t>
  </si>
  <si>
    <t>http://hl7.eu/fhir/ig/xeh/StructureDefinition/Specimen-eHN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</si>
</sst>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s>
  <fills count="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0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0" xfId="0" applyBorder="1" applyAlignment="1">
      <alignment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3" borderId="1" xfId="0" applyFill="1" applyBorder="1"/>
    <xf numFmtId="0" fontId="0" fillId="0" borderId="0" xfId="0"/>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0" fillId="5" borderId="1" xfId="0" applyFill="1" applyBorder="1" applyAlignment="1">
      <alignment wrapText="1"/>
    </xf>
    <xf numFmtId="0" fontId="0" fillId="0" borderId="10" xfId="0" applyBorder="1"/>
    <xf numFmtId="0" fontId="0" fillId="0" borderId="6" xfId="0" applyFill="1" applyBorder="1"/>
    <xf numFmtId="0" fontId="1" fillId="0" borderId="7" xfId="0" applyFont="1" applyFill="1" applyBorder="1"/>
    <xf numFmtId="0" fontId="0" fillId="0" borderId="11" xfId="0" applyFill="1" applyBorder="1"/>
    <xf numFmtId="0" fontId="1" fillId="0" borderId="7" xfId="0" applyFont="1" applyBorder="1"/>
    <xf numFmtId="0" fontId="1" fillId="0" borderId="12" xfId="0" applyFont="1" applyBorder="1"/>
    <xf numFmtId="0" fontId="0" fillId="0" borderId="13" xfId="0" applyFill="1"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0" fillId="0" borderId="23" xfId="0" applyFont="1" applyBorder="1" applyAlignment="1">
      <alignment horizontal="justify"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Fill="1"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Fill="1" applyBorder="1"/>
    <xf numFmtId="0" fontId="1" fillId="0" borderId="4" xfId="0" applyFont="1" applyFill="1" applyBorder="1" applyAlignment="1">
      <alignment wrapText="1"/>
    </xf>
    <xf numFmtId="0" fontId="3" fillId="0" borderId="0" xfId="0" applyFont="1" applyBorder="1" applyAlignment="1">
      <alignment wrapText="1"/>
    </xf>
    <xf numFmtId="0" fontId="2" fillId="0" borderId="9" xfId="1" applyBorder="1" applyAlignment="1">
      <alignment wrapText="1"/>
    </xf>
    <xf numFmtId="0" fontId="10" fillId="0" borderId="23" xfId="0" applyFont="1" applyBorder="1" applyAlignment="1">
      <alignment horizontal="justify" vertical="center" wrapText="1"/>
    </xf>
    <xf numFmtId="0" fontId="13" fillId="8" borderId="29" xfId="3" applyFont="1" applyBorder="1" applyAlignment="1">
      <alignment horizontal="center" vertical="center"/>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 xfId="0" applyBorder="1" applyAlignment="1">
      <alignment wrapText="1"/>
    </xf>
    <xf numFmtId="0" fontId="0" fillId="0" borderId="28" xfId="0" applyFill="1" applyBorder="1" applyAlignment="1">
      <alignment wrapText="1"/>
    </xf>
    <xf numFmtId="0" fontId="0" fillId="0" borderId="30" xfId="0" applyBorder="1"/>
    <xf numFmtId="0" fontId="0" fillId="0" borderId="30" xfId="0" applyBorder="1" applyAlignment="1">
      <alignment wrapText="1"/>
    </xf>
    <xf numFmtId="0" fontId="10" fillId="0" borderId="23" xfId="0" applyFont="1" applyBorder="1" applyAlignment="1">
      <alignment horizontal="justify" vertical="center" wrapText="1"/>
    </xf>
    <xf numFmtId="0" fontId="0" fillId="0" borderId="0" xfId="0" applyFill="1"/>
    <xf numFmtId="0" fontId="3" fillId="0" borderId="0" xfId="0" applyFont="1" applyFill="1"/>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1" xfId="0" applyBorder="1"/>
    <xf numFmtId="0" fontId="2" fillId="0" borderId="0" xfId="1" applyFill="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1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eh/StructureDefinition/Specimen-eH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election activeCell="B25" sqref="B25:E28"/>
    </sheetView>
  </sheetViews>
  <sheetFormatPr defaultRowHeight="14.75" x14ac:dyDescent="0.75"/>
  <cols>
    <col min="1" max="1" width="8.7265625" style="16"/>
    <col min="2" max="2" width="7.5" style="16" bestFit="1" customWidth="1"/>
    <col min="3" max="3" width="27.86328125" style="16" customWidth="1"/>
    <col min="4" max="4" width="57.953125" style="16" customWidth="1"/>
    <col min="5" max="5" width="24.6328125" style="16" customWidth="1"/>
    <col min="6" max="16384" width="8.7265625" style="16"/>
  </cols>
  <sheetData>
    <row r="2" spans="2:5" ht="15.5" thickBot="1" x14ac:dyDescent="0.9"/>
    <row r="3" spans="2:5" ht="16.75" thickBot="1" x14ac:dyDescent="0.9">
      <c r="B3" s="84" t="s">
        <v>39</v>
      </c>
      <c r="C3" s="85"/>
      <c r="D3" s="44" t="s">
        <v>40</v>
      </c>
      <c r="E3" s="44" t="s">
        <v>41</v>
      </c>
    </row>
    <row r="4" spans="2:5" ht="16.75" thickBot="1" x14ac:dyDescent="0.9">
      <c r="B4" s="86" t="s">
        <v>42</v>
      </c>
      <c r="C4" s="87"/>
      <c r="D4" s="87"/>
      <c r="E4" s="88"/>
    </row>
    <row r="5" spans="2:5" ht="16.75" thickBot="1" x14ac:dyDescent="0.9">
      <c r="B5" s="86" t="s">
        <v>43</v>
      </c>
      <c r="C5" s="87"/>
      <c r="D5" s="87"/>
      <c r="E5" s="88"/>
    </row>
    <row r="6" spans="2:5" ht="48.75" thickBot="1" x14ac:dyDescent="0.9">
      <c r="B6" s="45" t="s">
        <v>44</v>
      </c>
      <c r="C6" s="46" t="s">
        <v>45</v>
      </c>
      <c r="D6" s="46" t="s">
        <v>46</v>
      </c>
      <c r="E6" s="47"/>
    </row>
    <row r="7" spans="2:5" ht="48.75" thickBot="1" x14ac:dyDescent="0.9">
      <c r="B7" s="45" t="s">
        <v>47</v>
      </c>
      <c r="C7" s="46" t="s">
        <v>48</v>
      </c>
      <c r="D7" s="46" t="s">
        <v>49</v>
      </c>
      <c r="E7" s="47"/>
    </row>
    <row r="8" spans="2:5" ht="48.75" thickBot="1" x14ac:dyDescent="0.9">
      <c r="B8" s="45" t="s">
        <v>50</v>
      </c>
      <c r="C8" s="46" t="s">
        <v>51</v>
      </c>
      <c r="D8" s="46" t="s">
        <v>52</v>
      </c>
      <c r="E8" s="48" t="s">
        <v>53</v>
      </c>
    </row>
    <row r="9" spans="2:5" ht="48.75" thickBot="1" x14ac:dyDescent="0.9">
      <c r="B9" s="45" t="s">
        <v>54</v>
      </c>
      <c r="C9" s="46" t="s">
        <v>55</v>
      </c>
      <c r="D9" s="46" t="s">
        <v>56</v>
      </c>
      <c r="E9" s="47"/>
    </row>
    <row r="10" spans="2:5" ht="32" x14ac:dyDescent="0.75">
      <c r="B10" s="89" t="s">
        <v>57</v>
      </c>
      <c r="C10" s="89" t="s">
        <v>58</v>
      </c>
      <c r="D10" s="49" t="s">
        <v>59</v>
      </c>
      <c r="E10" s="92" t="s">
        <v>60</v>
      </c>
    </row>
    <row r="11" spans="2:5" x14ac:dyDescent="0.75">
      <c r="B11" s="90"/>
      <c r="C11" s="90"/>
      <c r="D11" s="50"/>
      <c r="E11" s="93"/>
    </row>
    <row r="12" spans="2:5" ht="32.75" thickBot="1" x14ac:dyDescent="0.9">
      <c r="B12" s="91"/>
      <c r="C12" s="91"/>
      <c r="D12" s="46" t="s">
        <v>61</v>
      </c>
      <c r="E12" s="94"/>
    </row>
    <row r="13" spans="2:5" ht="16.75" thickBot="1" x14ac:dyDescent="0.9">
      <c r="B13" s="95" t="s">
        <v>62</v>
      </c>
      <c r="C13" s="96"/>
      <c r="D13" s="96"/>
      <c r="E13" s="97"/>
    </row>
    <row r="14" spans="2:5" ht="96.75" thickBot="1" x14ac:dyDescent="0.9">
      <c r="B14" s="45" t="s">
        <v>63</v>
      </c>
      <c r="C14" s="46" t="s">
        <v>64</v>
      </c>
      <c r="D14" s="46" t="s">
        <v>65</v>
      </c>
      <c r="E14" s="48" t="s">
        <v>66</v>
      </c>
    </row>
    <row r="15" spans="2:5" ht="48.75" thickBot="1" x14ac:dyDescent="0.9">
      <c r="B15" s="45" t="s">
        <v>67</v>
      </c>
      <c r="C15" s="46" t="s">
        <v>68</v>
      </c>
      <c r="D15" s="46" t="s">
        <v>69</v>
      </c>
      <c r="E15" s="52"/>
    </row>
    <row r="16" spans="2:5" ht="16.75" thickBot="1" x14ac:dyDescent="0.9">
      <c r="B16" s="95" t="s">
        <v>70</v>
      </c>
      <c r="C16" s="96"/>
      <c r="D16" s="96"/>
      <c r="E16" s="97"/>
    </row>
    <row r="17" spans="2:5" ht="64.75" thickBot="1" x14ac:dyDescent="0.9">
      <c r="B17" s="45" t="s">
        <v>71</v>
      </c>
      <c r="C17" s="48" t="s">
        <v>72</v>
      </c>
      <c r="D17" s="46" t="s">
        <v>73</v>
      </c>
      <c r="E17" s="52"/>
    </row>
    <row r="18" spans="2:5" ht="32.75" thickBot="1" x14ac:dyDescent="0.9">
      <c r="B18" s="45" t="s">
        <v>74</v>
      </c>
      <c r="C18" s="48" t="s">
        <v>75</v>
      </c>
      <c r="D18" s="46" t="s">
        <v>76</v>
      </c>
      <c r="E18" s="52"/>
    </row>
    <row r="19" spans="2:5" ht="32.75" thickBot="1" x14ac:dyDescent="0.9">
      <c r="B19" s="45" t="s">
        <v>77</v>
      </c>
      <c r="C19" s="48" t="s">
        <v>78</v>
      </c>
      <c r="D19" s="46" t="s">
        <v>79</v>
      </c>
      <c r="E19" s="52"/>
    </row>
    <row r="20" spans="2:5" ht="32.75" thickBot="1" x14ac:dyDescent="0.9">
      <c r="B20" s="45" t="s">
        <v>80</v>
      </c>
      <c r="C20" s="48" t="s">
        <v>81</v>
      </c>
      <c r="D20" s="46" t="s">
        <v>82</v>
      </c>
      <c r="E20" s="52"/>
    </row>
    <row r="21" spans="2:5" ht="16.75" thickBot="1" x14ac:dyDescent="0.9">
      <c r="B21" s="95" t="s">
        <v>83</v>
      </c>
      <c r="C21" s="96"/>
      <c r="D21" s="96"/>
      <c r="E21" s="97"/>
    </row>
    <row r="22" spans="2:5" ht="96.75" thickBot="1" x14ac:dyDescent="0.9">
      <c r="B22" s="45" t="s">
        <v>84</v>
      </c>
      <c r="C22" s="46" t="s">
        <v>85</v>
      </c>
      <c r="D22" s="46" t="s">
        <v>86</v>
      </c>
      <c r="E22" s="52"/>
    </row>
    <row r="23" spans="2:5" ht="16.75" thickBot="1" x14ac:dyDescent="0.9">
      <c r="B23" s="45" t="s">
        <v>87</v>
      </c>
      <c r="C23" s="46" t="s">
        <v>88</v>
      </c>
      <c r="D23" s="46" t="s">
        <v>89</v>
      </c>
      <c r="E23" s="52"/>
    </row>
    <row r="24" spans="2:5" ht="16.75" thickBot="1" x14ac:dyDescent="0.9">
      <c r="B24" s="45" t="s">
        <v>90</v>
      </c>
      <c r="C24" s="46" t="s">
        <v>91</v>
      </c>
      <c r="D24" s="46" t="s">
        <v>92</v>
      </c>
      <c r="E24" s="52"/>
    </row>
    <row r="25" spans="2:5" ht="16.75" thickBot="1" x14ac:dyDescent="0.9">
      <c r="B25" s="95" t="s">
        <v>93</v>
      </c>
      <c r="C25" s="96"/>
      <c r="D25" s="96"/>
      <c r="E25" s="97"/>
    </row>
    <row r="26" spans="2:5" ht="64.75" thickBot="1" x14ac:dyDescent="0.9">
      <c r="B26" s="45" t="s">
        <v>94</v>
      </c>
      <c r="C26" s="46" t="s">
        <v>95</v>
      </c>
      <c r="D26" s="46" t="s">
        <v>96</v>
      </c>
      <c r="E26" s="52"/>
    </row>
    <row r="27" spans="2:5" ht="16.75" thickBot="1" x14ac:dyDescent="0.9">
      <c r="B27" s="45" t="s">
        <v>97</v>
      </c>
      <c r="C27" s="46" t="s">
        <v>98</v>
      </c>
      <c r="D27" s="46" t="s">
        <v>99</v>
      </c>
      <c r="E27" s="52"/>
    </row>
    <row r="28" spans="2:5" ht="16.75" thickBot="1" x14ac:dyDescent="0.9">
      <c r="B28" s="45" t="s">
        <v>100</v>
      </c>
      <c r="C28" s="46" t="s">
        <v>101</v>
      </c>
      <c r="D28" s="46" t="s">
        <v>92</v>
      </c>
      <c r="E28" s="52"/>
    </row>
    <row r="29" spans="2:5" ht="16.75" thickBot="1" x14ac:dyDescent="0.9">
      <c r="B29" s="95" t="s">
        <v>102</v>
      </c>
      <c r="C29" s="96"/>
      <c r="D29" s="96"/>
      <c r="E29" s="97"/>
    </row>
    <row r="30" spans="2:5" ht="64.75" thickBot="1" x14ac:dyDescent="0.9">
      <c r="B30" s="45" t="s">
        <v>103</v>
      </c>
      <c r="C30" s="48" t="s">
        <v>104</v>
      </c>
      <c r="D30" s="46" t="s">
        <v>105</v>
      </c>
      <c r="E30" s="52"/>
    </row>
    <row r="31" spans="2:5" ht="16.75" thickBot="1" x14ac:dyDescent="0.9">
      <c r="B31" s="45" t="s">
        <v>106</v>
      </c>
      <c r="C31" s="48" t="s">
        <v>107</v>
      </c>
      <c r="D31" s="46" t="s">
        <v>89</v>
      </c>
      <c r="E31" s="52"/>
    </row>
    <row r="32" spans="2:5" ht="32.75" thickBot="1" x14ac:dyDescent="0.9">
      <c r="B32" s="45" t="s">
        <v>108</v>
      </c>
      <c r="C32" s="48" t="s">
        <v>109</v>
      </c>
      <c r="D32" s="46" t="s">
        <v>92</v>
      </c>
      <c r="E32" s="52"/>
    </row>
    <row r="33" spans="2:5" ht="32.75" thickBot="1" x14ac:dyDescent="0.9">
      <c r="B33" s="45" t="s">
        <v>110</v>
      </c>
      <c r="C33" s="48" t="s">
        <v>111</v>
      </c>
      <c r="D33" s="46" t="s">
        <v>112</v>
      </c>
      <c r="E33" s="48" t="s">
        <v>113</v>
      </c>
    </row>
    <row r="34" spans="2:5" ht="16.75" thickBot="1" x14ac:dyDescent="0.9">
      <c r="B34" s="95" t="s">
        <v>114</v>
      </c>
      <c r="C34" s="96"/>
      <c r="D34" s="96"/>
      <c r="E34" s="97"/>
    </row>
    <row r="35" spans="2:5" ht="64.75" thickBot="1" x14ac:dyDescent="0.9">
      <c r="B35" s="45" t="s">
        <v>115</v>
      </c>
      <c r="C35" s="48" t="s">
        <v>116</v>
      </c>
      <c r="D35" s="46" t="s">
        <v>117</v>
      </c>
      <c r="E35" s="52"/>
    </row>
    <row r="36" spans="2:5" ht="16.75" thickBot="1" x14ac:dyDescent="0.9">
      <c r="B36" s="45" t="s">
        <v>118</v>
      </c>
      <c r="C36" s="48" t="s">
        <v>119</v>
      </c>
      <c r="D36" s="46" t="s">
        <v>89</v>
      </c>
      <c r="E36" s="52"/>
    </row>
    <row r="37" spans="2:5" ht="16.75" thickBot="1" x14ac:dyDescent="0.9">
      <c r="B37" s="45" t="s">
        <v>120</v>
      </c>
      <c r="C37" s="48" t="s">
        <v>121</v>
      </c>
      <c r="D37" s="46" t="s">
        <v>122</v>
      </c>
      <c r="E37" s="52"/>
    </row>
    <row r="38" spans="2:5" ht="16.75" thickBot="1" x14ac:dyDescent="0.9">
      <c r="B38" s="45" t="s">
        <v>123</v>
      </c>
      <c r="C38" s="48" t="s">
        <v>124</v>
      </c>
      <c r="D38" s="46" t="s">
        <v>125</v>
      </c>
      <c r="E38" s="48" t="s">
        <v>113</v>
      </c>
    </row>
    <row r="39" spans="2:5" ht="16.75" thickBot="1" x14ac:dyDescent="0.9">
      <c r="B39" s="95" t="s">
        <v>126</v>
      </c>
      <c r="C39" s="96"/>
      <c r="D39" s="96"/>
      <c r="E39" s="97"/>
    </row>
    <row r="40" spans="2:5" ht="32.75" thickBot="1" x14ac:dyDescent="0.9">
      <c r="B40" s="45" t="s">
        <v>127</v>
      </c>
      <c r="C40" s="46" t="s">
        <v>128</v>
      </c>
      <c r="D40" s="46" t="s">
        <v>129</v>
      </c>
      <c r="E40" s="48" t="s">
        <v>130</v>
      </c>
    </row>
    <row r="41" spans="2:5" ht="32.75" thickBot="1" x14ac:dyDescent="0.9">
      <c r="B41" s="45" t="s">
        <v>131</v>
      </c>
      <c r="C41" s="46" t="s">
        <v>132</v>
      </c>
      <c r="D41" s="46" t="s">
        <v>133</v>
      </c>
      <c r="E41" s="48" t="s">
        <v>134</v>
      </c>
    </row>
    <row r="42" spans="2:5" ht="16.75" thickBot="1" x14ac:dyDescent="0.9">
      <c r="B42" s="45" t="s">
        <v>135</v>
      </c>
      <c r="C42" s="46" t="s">
        <v>136</v>
      </c>
      <c r="D42" s="46" t="s">
        <v>137</v>
      </c>
      <c r="E42" s="48" t="s">
        <v>113</v>
      </c>
    </row>
    <row r="43" spans="2:5" ht="16.75" thickBot="1" x14ac:dyDescent="0.9">
      <c r="B43" s="45" t="s">
        <v>138</v>
      </c>
      <c r="C43" s="46" t="s">
        <v>139</v>
      </c>
      <c r="D43" s="46" t="s">
        <v>140</v>
      </c>
      <c r="E43" s="47"/>
    </row>
    <row r="44" spans="2:5" ht="32.75" thickBot="1" x14ac:dyDescent="0.9">
      <c r="B44" s="45" t="s">
        <v>141</v>
      </c>
      <c r="C44" s="46" t="s">
        <v>142</v>
      </c>
      <c r="D44" s="46" t="s">
        <v>143</v>
      </c>
      <c r="E44" s="5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1" max="1" width="8.7265625" style="16"/>
    <col min="2" max="2" width="8.40625" style="16" bestFit="1" customWidth="1"/>
    <col min="3" max="3" width="24.26953125" style="16" bestFit="1" customWidth="1"/>
    <col min="4" max="4" width="101.58984375" style="16" bestFit="1" customWidth="1"/>
    <col min="5" max="5" width="21.76953125" style="16" customWidth="1"/>
    <col min="6" max="16384" width="8.7265625" style="16"/>
  </cols>
  <sheetData>
    <row r="2" spans="2:5" ht="15.5" thickBot="1" x14ac:dyDescent="0.9"/>
    <row r="3" spans="2:5" ht="32.75" thickBot="1" x14ac:dyDescent="0.9">
      <c r="B3" s="84" t="s">
        <v>39</v>
      </c>
      <c r="C3" s="85"/>
      <c r="D3" s="44" t="s">
        <v>40</v>
      </c>
      <c r="E3" s="44" t="s">
        <v>41</v>
      </c>
    </row>
    <row r="4" spans="2:5" ht="15.5" thickBot="1" x14ac:dyDescent="0.9">
      <c r="B4" s="98" t="s">
        <v>144</v>
      </c>
      <c r="C4" s="99"/>
      <c r="D4" s="99"/>
      <c r="E4" s="100"/>
    </row>
    <row r="5" spans="2:5" ht="16.75" thickBot="1" x14ac:dyDescent="0.9">
      <c r="B5" s="45" t="s">
        <v>145</v>
      </c>
      <c r="C5" s="48" t="s">
        <v>146</v>
      </c>
      <c r="D5" s="46" t="s">
        <v>147</v>
      </c>
      <c r="E5" s="52"/>
    </row>
    <row r="6" spans="2:5" ht="16.75" thickBot="1" x14ac:dyDescent="0.9">
      <c r="B6" s="45" t="s">
        <v>148</v>
      </c>
      <c r="C6" s="48" t="s">
        <v>149</v>
      </c>
      <c r="D6" s="46" t="s">
        <v>150</v>
      </c>
      <c r="E6" s="48" t="s">
        <v>113</v>
      </c>
    </row>
    <row r="7" spans="2:5" ht="64.75" thickBot="1" x14ac:dyDescent="0.9">
      <c r="B7" s="45" t="s">
        <v>151</v>
      </c>
      <c r="C7" s="48" t="s">
        <v>152</v>
      </c>
      <c r="D7" s="46" t="s">
        <v>153</v>
      </c>
      <c r="E7" s="52"/>
    </row>
    <row r="8" spans="2:5" ht="16.75" thickBot="1" x14ac:dyDescent="0.9">
      <c r="B8" s="45" t="s">
        <v>154</v>
      </c>
      <c r="C8" s="48" t="s">
        <v>155</v>
      </c>
      <c r="D8" s="46" t="s">
        <v>89</v>
      </c>
      <c r="E8" s="52"/>
    </row>
    <row r="9" spans="2:5" ht="32.75" thickBot="1" x14ac:dyDescent="0.9">
      <c r="B9" s="45" t="s">
        <v>156</v>
      </c>
      <c r="C9" s="48" t="s">
        <v>157</v>
      </c>
      <c r="D9" s="46" t="s">
        <v>158</v>
      </c>
      <c r="E9" s="47"/>
    </row>
    <row r="10" spans="2:5" ht="32.75" thickBot="1" x14ac:dyDescent="0.9">
      <c r="B10" s="45" t="s">
        <v>159</v>
      </c>
      <c r="C10" s="48" t="s">
        <v>160</v>
      </c>
      <c r="D10" s="46" t="s">
        <v>161</v>
      </c>
      <c r="E10" s="52"/>
    </row>
    <row r="11" spans="2:5" ht="15.5" thickBot="1" x14ac:dyDescent="0.9">
      <c r="B11" s="101" t="s">
        <v>162</v>
      </c>
      <c r="C11" s="102"/>
      <c r="D11" s="102"/>
      <c r="E11" s="103"/>
    </row>
    <row r="12" spans="2:5" ht="32" x14ac:dyDescent="0.75">
      <c r="B12" s="89" t="s">
        <v>163</v>
      </c>
      <c r="C12" s="89" t="s">
        <v>164</v>
      </c>
      <c r="D12" s="89" t="s">
        <v>165</v>
      </c>
      <c r="E12" s="53" t="s">
        <v>166</v>
      </c>
    </row>
    <row r="13" spans="2:5" ht="16" x14ac:dyDescent="0.75">
      <c r="B13" s="90"/>
      <c r="C13" s="90"/>
      <c r="D13" s="90"/>
      <c r="E13" s="53" t="s">
        <v>167</v>
      </c>
    </row>
    <row r="14" spans="2:5" ht="16.75" thickBot="1" x14ac:dyDescent="0.9">
      <c r="B14" s="91"/>
      <c r="C14" s="91"/>
      <c r="D14" s="91"/>
      <c r="E14" s="48" t="s">
        <v>168</v>
      </c>
    </row>
    <row r="15" spans="2:5" ht="15.5" thickBot="1" x14ac:dyDescent="0.9">
      <c r="B15" s="101" t="s">
        <v>169</v>
      </c>
      <c r="C15" s="102"/>
      <c r="D15" s="102"/>
      <c r="E15" s="103"/>
    </row>
    <row r="16" spans="2:5" ht="32.75" thickBot="1" x14ac:dyDescent="0.9">
      <c r="B16" s="45" t="s">
        <v>170</v>
      </c>
      <c r="C16" s="48" t="s">
        <v>171</v>
      </c>
      <c r="D16" s="46" t="s">
        <v>172</v>
      </c>
      <c r="E16" s="52"/>
    </row>
    <row r="17" spans="2:5" ht="16.75" thickBot="1" x14ac:dyDescent="0.9">
      <c r="B17" s="45" t="s">
        <v>173</v>
      </c>
      <c r="C17" s="48" t="s">
        <v>174</v>
      </c>
      <c r="D17" s="46" t="s">
        <v>175</v>
      </c>
      <c r="E17" s="48" t="s">
        <v>167</v>
      </c>
    </row>
    <row r="18" spans="2:5" ht="16.75" thickBot="1" x14ac:dyDescent="0.9">
      <c r="B18" s="45" t="s">
        <v>176</v>
      </c>
      <c r="C18" s="48" t="s">
        <v>177</v>
      </c>
      <c r="D18" s="46" t="s">
        <v>178</v>
      </c>
      <c r="E18" s="48" t="s">
        <v>167</v>
      </c>
    </row>
    <row r="19" spans="2:5" ht="16.75" thickBot="1" x14ac:dyDescent="0.9">
      <c r="B19" s="45" t="s">
        <v>179</v>
      </c>
      <c r="C19" s="48" t="s">
        <v>180</v>
      </c>
      <c r="D19" s="46" t="s">
        <v>181</v>
      </c>
      <c r="E19" s="48" t="s">
        <v>113</v>
      </c>
    </row>
    <row r="20" spans="2:5" ht="16.75" thickBot="1" x14ac:dyDescent="0.9">
      <c r="B20" s="45" t="s">
        <v>182</v>
      </c>
      <c r="C20" s="48" t="s">
        <v>183</v>
      </c>
      <c r="D20" s="46" t="s">
        <v>184</v>
      </c>
      <c r="E20" s="48" t="s">
        <v>167</v>
      </c>
    </row>
    <row r="21" spans="2:5" ht="32.75" thickBot="1" x14ac:dyDescent="0.9">
      <c r="B21" s="45" t="s">
        <v>185</v>
      </c>
      <c r="C21" s="48" t="s">
        <v>186</v>
      </c>
      <c r="D21" s="46" t="s">
        <v>187</v>
      </c>
      <c r="E21" s="48" t="s">
        <v>167</v>
      </c>
    </row>
    <row r="22" spans="2:5" ht="16" x14ac:dyDescent="0.75">
      <c r="B22" s="89" t="s">
        <v>188</v>
      </c>
      <c r="C22" s="92" t="s">
        <v>189</v>
      </c>
      <c r="D22" s="89" t="s">
        <v>190</v>
      </c>
      <c r="E22" s="53" t="s">
        <v>167</v>
      </c>
    </row>
    <row r="23" spans="2:5" x14ac:dyDescent="0.75">
      <c r="B23" s="90"/>
      <c r="C23" s="93"/>
      <c r="D23" s="90"/>
      <c r="E23" s="50"/>
    </row>
    <row r="24" spans="2:5" ht="16.75" thickBot="1" x14ac:dyDescent="0.9">
      <c r="B24" s="91"/>
      <c r="C24" s="94"/>
      <c r="D24" s="91"/>
      <c r="E24" s="48" t="s">
        <v>191</v>
      </c>
    </row>
    <row r="25" spans="2:5" ht="32.75" thickBot="1" x14ac:dyDescent="0.9">
      <c r="B25" s="45" t="s">
        <v>192</v>
      </c>
      <c r="C25" s="48" t="s">
        <v>193</v>
      </c>
      <c r="D25" s="46" t="s">
        <v>194</v>
      </c>
      <c r="E25" s="48" t="s">
        <v>167</v>
      </c>
    </row>
    <row r="26" spans="2:5" ht="16.75" thickBot="1" x14ac:dyDescent="0.9">
      <c r="B26" s="45" t="s">
        <v>195</v>
      </c>
      <c r="C26" s="48" t="s">
        <v>196</v>
      </c>
      <c r="D26" s="46" t="s">
        <v>197</v>
      </c>
      <c r="E26" s="48" t="s">
        <v>113</v>
      </c>
    </row>
    <row r="27" spans="2:5" ht="16.75" thickBot="1" x14ac:dyDescent="0.9">
      <c r="B27" s="95" t="s">
        <v>198</v>
      </c>
      <c r="C27" s="96"/>
      <c r="D27" s="96"/>
      <c r="E27" s="97"/>
    </row>
    <row r="28" spans="2:5" ht="16.75" thickBot="1" x14ac:dyDescent="0.9">
      <c r="B28" s="95" t="s">
        <v>199</v>
      </c>
      <c r="C28" s="96"/>
      <c r="D28" s="96"/>
      <c r="E28" s="97"/>
    </row>
    <row r="29" spans="2:5" ht="16.75" thickBot="1" x14ac:dyDescent="0.9">
      <c r="B29" s="45" t="s">
        <v>200</v>
      </c>
      <c r="C29" s="48" t="s">
        <v>201</v>
      </c>
      <c r="D29" s="46" t="s">
        <v>202</v>
      </c>
      <c r="E29" s="52"/>
    </row>
    <row r="30" spans="2:5" ht="48.75" thickBot="1" x14ac:dyDescent="0.9">
      <c r="B30" s="45" t="s">
        <v>203</v>
      </c>
      <c r="C30" s="48" t="s">
        <v>204</v>
      </c>
      <c r="D30" s="46" t="s">
        <v>205</v>
      </c>
      <c r="E30" s="52"/>
    </row>
    <row r="31" spans="2:5" ht="16.75" thickBot="1" x14ac:dyDescent="0.9">
      <c r="B31" s="95" t="s">
        <v>206</v>
      </c>
      <c r="C31" s="96"/>
      <c r="D31" s="96"/>
      <c r="E31" s="97"/>
    </row>
    <row r="32" spans="2:5" ht="16.75" thickBot="1" x14ac:dyDescent="0.9">
      <c r="B32" s="45" t="s">
        <v>207</v>
      </c>
      <c r="C32" s="48" t="s">
        <v>208</v>
      </c>
      <c r="D32" s="46" t="s">
        <v>209</v>
      </c>
      <c r="E32" s="48" t="s">
        <v>113</v>
      </c>
    </row>
    <row r="33" spans="2:5" ht="16" x14ac:dyDescent="0.75">
      <c r="B33" s="89" t="s">
        <v>210</v>
      </c>
      <c r="C33" s="92" t="s">
        <v>211</v>
      </c>
      <c r="D33" s="89" t="s">
        <v>212</v>
      </c>
      <c r="E33" s="53" t="s">
        <v>130</v>
      </c>
    </row>
    <row r="34" spans="2:5" ht="16" x14ac:dyDescent="0.75">
      <c r="B34" s="90"/>
      <c r="C34" s="93"/>
      <c r="D34" s="90"/>
      <c r="E34" s="53" t="s">
        <v>213</v>
      </c>
    </row>
    <row r="35" spans="2:5" ht="16.75" thickBot="1" x14ac:dyDescent="0.9">
      <c r="B35" s="91"/>
      <c r="C35" s="94"/>
      <c r="D35" s="91"/>
      <c r="E35" s="48" t="s">
        <v>167</v>
      </c>
    </row>
    <row r="36" spans="2:5" ht="32.75" thickBot="1" x14ac:dyDescent="0.9">
      <c r="B36" s="45" t="s">
        <v>214</v>
      </c>
      <c r="C36" s="48" t="s">
        <v>215</v>
      </c>
      <c r="D36" s="46" t="s">
        <v>216</v>
      </c>
      <c r="E36" s="47"/>
    </row>
    <row r="37" spans="2:5" ht="32.75" thickBot="1" x14ac:dyDescent="0.9">
      <c r="B37" s="45" t="s">
        <v>217</v>
      </c>
      <c r="C37" s="48" t="s">
        <v>218</v>
      </c>
      <c r="D37" s="46" t="s">
        <v>219</v>
      </c>
      <c r="E37" s="47"/>
    </row>
    <row r="38" spans="2:5" ht="32.75" thickBot="1" x14ac:dyDescent="0.9">
      <c r="B38" s="45" t="s">
        <v>220</v>
      </c>
      <c r="C38" s="48" t="s">
        <v>221</v>
      </c>
      <c r="D38" s="46" t="s">
        <v>222</v>
      </c>
      <c r="E38" s="47"/>
    </row>
    <row r="39" spans="2:5" ht="16.75" thickBot="1" x14ac:dyDescent="0.9">
      <c r="B39" s="45" t="s">
        <v>223</v>
      </c>
      <c r="C39" s="48" t="s">
        <v>224</v>
      </c>
      <c r="D39" s="46" t="s">
        <v>225</v>
      </c>
      <c r="E39" s="48" t="s">
        <v>167</v>
      </c>
    </row>
    <row r="40" spans="2:5" ht="16" x14ac:dyDescent="0.75">
      <c r="B40" s="89" t="s">
        <v>226</v>
      </c>
      <c r="C40" s="92" t="s">
        <v>227</v>
      </c>
      <c r="D40" s="89" t="s">
        <v>228</v>
      </c>
      <c r="E40" s="53" t="s">
        <v>167</v>
      </c>
    </row>
    <row r="41" spans="2:5" x14ac:dyDescent="0.75">
      <c r="B41" s="90"/>
      <c r="C41" s="93"/>
      <c r="D41" s="90"/>
      <c r="E41" s="50"/>
    </row>
    <row r="42" spans="2:5" ht="16.75" thickBot="1" x14ac:dyDescent="0.9">
      <c r="B42" s="91"/>
      <c r="C42" s="94"/>
      <c r="D42" s="91"/>
      <c r="E42" s="48" t="s">
        <v>191</v>
      </c>
    </row>
    <row r="43" spans="2:5" ht="16.75" thickBot="1" x14ac:dyDescent="0.9">
      <c r="B43" s="45" t="s">
        <v>229</v>
      </c>
      <c r="C43" s="48" t="s">
        <v>230</v>
      </c>
      <c r="D43" s="46" t="s">
        <v>231</v>
      </c>
      <c r="E43" s="47"/>
    </row>
    <row r="44" spans="2:5" ht="32.75" thickBot="1" x14ac:dyDescent="0.9">
      <c r="B44" s="45" t="s">
        <v>232</v>
      </c>
      <c r="C44" s="48" t="s">
        <v>233</v>
      </c>
      <c r="D44" s="46" t="s">
        <v>234</v>
      </c>
      <c r="E44" s="47"/>
    </row>
    <row r="45" spans="2:5" ht="32.75" thickBot="1" x14ac:dyDescent="0.9">
      <c r="B45" s="45" t="s">
        <v>235</v>
      </c>
      <c r="C45" s="48" t="s">
        <v>236</v>
      </c>
      <c r="D45" s="46" t="s">
        <v>237</v>
      </c>
      <c r="E45" s="47"/>
    </row>
    <row r="46" spans="2:5" ht="64" x14ac:dyDescent="0.75">
      <c r="B46" s="89" t="s">
        <v>238</v>
      </c>
      <c r="C46" s="92" t="s">
        <v>239</v>
      </c>
      <c r="D46" s="89" t="s">
        <v>240</v>
      </c>
      <c r="E46" s="53" t="s">
        <v>241</v>
      </c>
    </row>
    <row r="47" spans="2:5" x14ac:dyDescent="0.75">
      <c r="B47" s="90"/>
      <c r="C47" s="93"/>
      <c r="D47" s="90"/>
      <c r="E47" s="54"/>
    </row>
    <row r="48" spans="2:5" ht="16.75" thickBot="1" x14ac:dyDescent="0.9">
      <c r="B48" s="91"/>
      <c r="C48" s="94"/>
      <c r="D48" s="91"/>
      <c r="E48" s="48" t="s">
        <v>242</v>
      </c>
    </row>
    <row r="49" spans="2:5" ht="16" x14ac:dyDescent="0.75">
      <c r="B49" s="89" t="s">
        <v>243</v>
      </c>
      <c r="C49" s="92" t="s">
        <v>244</v>
      </c>
      <c r="D49" s="89" t="s">
        <v>245</v>
      </c>
      <c r="E49" s="53" t="s">
        <v>167</v>
      </c>
    </row>
    <row r="50" spans="2:5" x14ac:dyDescent="0.75">
      <c r="B50" s="90"/>
      <c r="C50" s="93"/>
      <c r="D50" s="90"/>
      <c r="E50" s="50"/>
    </row>
    <row r="51" spans="2:5" ht="48.75" thickBot="1" x14ac:dyDescent="0.9">
      <c r="B51" s="91"/>
      <c r="C51" s="94"/>
      <c r="D51" s="91"/>
      <c r="E51" s="48" t="s">
        <v>246</v>
      </c>
    </row>
    <row r="52" spans="2:5" ht="16.75" thickBot="1" x14ac:dyDescent="0.9">
      <c r="B52" s="45" t="s">
        <v>247</v>
      </c>
      <c r="C52" s="48" t="s">
        <v>248</v>
      </c>
      <c r="D52" s="46" t="s">
        <v>249</v>
      </c>
      <c r="E52" s="47"/>
    </row>
    <row r="53" spans="2:5" ht="16.75" thickBot="1" x14ac:dyDescent="0.9">
      <c r="B53" s="45" t="s">
        <v>250</v>
      </c>
      <c r="C53" s="48" t="s">
        <v>251</v>
      </c>
      <c r="D53" s="46" t="s">
        <v>252</v>
      </c>
      <c r="E53" s="47"/>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30"/>
  <sheetViews>
    <sheetView topLeftCell="B10" workbookViewId="0">
      <selection activeCell="C25" sqref="C25"/>
    </sheetView>
  </sheetViews>
  <sheetFormatPr defaultRowHeight="14.75" x14ac:dyDescent="0.75"/>
  <cols>
    <col min="1" max="1" width="16.54296875" style="16" customWidth="1"/>
    <col min="2" max="2" width="59.5" style="16" customWidth="1"/>
    <col min="3" max="3" width="44.6328125" style="16" customWidth="1"/>
    <col min="4" max="4" width="71.58984375" style="16" bestFit="1" customWidth="1"/>
    <col min="5" max="5" width="10.81640625" style="16" customWidth="1"/>
    <col min="6" max="6" width="9" style="16" customWidth="1"/>
    <col min="7" max="7" width="48.58984375" style="16" customWidth="1"/>
    <col min="8"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9" x14ac:dyDescent="0.75">
      <c r="B1" s="21"/>
      <c r="C1" s="21"/>
      <c r="D1" s="21"/>
      <c r="I1" s="40" t="s">
        <v>37</v>
      </c>
    </row>
    <row r="2" spans="1:9" x14ac:dyDescent="0.75">
      <c r="B2" s="21"/>
      <c r="C2" s="21"/>
      <c r="D2" s="21"/>
      <c r="I2" s="41" t="s">
        <v>36</v>
      </c>
    </row>
    <row r="3" spans="1:9" ht="15.5" thickBot="1" x14ac:dyDescent="0.9">
      <c r="B3" s="21"/>
      <c r="C3" s="21"/>
      <c r="D3" s="21"/>
      <c r="I3" s="41" t="str">
        <f>I1</f>
        <v>// -------------------------------------------------------------------------------</v>
      </c>
    </row>
    <row r="4" spans="1:9" x14ac:dyDescent="0.75">
      <c r="A4" s="7" t="s">
        <v>14</v>
      </c>
      <c r="B4" s="24" t="s">
        <v>253</v>
      </c>
      <c r="C4" s="21"/>
      <c r="D4" s="21"/>
      <c r="I4" s="33" t="str">
        <f>CONCATENATE("Logical: ",B4)</f>
        <v>Logical: LabReportEhn</v>
      </c>
    </row>
    <row r="5" spans="1:9" x14ac:dyDescent="0.75">
      <c r="A5" s="25" t="s">
        <v>19</v>
      </c>
      <c r="B5" s="43" t="s">
        <v>254</v>
      </c>
      <c r="C5" s="21"/>
      <c r="D5" s="21"/>
      <c r="I5" s="33" t="str">
        <f>CONCATENATE("Id: ",B5)</f>
        <v>Id: LabReport</v>
      </c>
    </row>
    <row r="6" spans="1:9" x14ac:dyDescent="0.75">
      <c r="A6" s="27" t="s">
        <v>13</v>
      </c>
      <c r="B6" s="26" t="s">
        <v>255</v>
      </c>
      <c r="C6" s="21"/>
      <c r="D6" s="21"/>
      <c r="I6" s="34" t="str">
        <f>CONCATENATE("Title: ##34#",B6,"##34#")</f>
        <v>Title: ##34#Laboratory Report##34#</v>
      </c>
    </row>
    <row r="7" spans="1:9" x14ac:dyDescent="0.75">
      <c r="A7" s="56" t="s">
        <v>5</v>
      </c>
      <c r="B7" s="57" t="s">
        <v>255</v>
      </c>
      <c r="C7" s="14" t="s">
        <v>6</v>
      </c>
      <c r="D7" s="2" t="s">
        <v>7</v>
      </c>
      <c r="E7" s="4" t="s">
        <v>8</v>
      </c>
      <c r="F7" s="4" t="s">
        <v>9</v>
      </c>
      <c r="G7" s="4" t="s">
        <v>10</v>
      </c>
      <c r="I7" s="34" t="str">
        <f>CONCATENATE("Description: "," ##334#",B7,"##334#",)</f>
        <v>Description:  ##334#Laboratory Report##334#</v>
      </c>
    </row>
    <row r="8" spans="1:9" ht="29.5" x14ac:dyDescent="0.75">
      <c r="A8" s="18">
        <v>1</v>
      </c>
      <c r="B8" s="18" t="s">
        <v>256</v>
      </c>
      <c r="C8" s="18" t="s">
        <v>42</v>
      </c>
      <c r="D8" s="19" t="s">
        <v>42</v>
      </c>
      <c r="E8" s="18">
        <v>1</v>
      </c>
      <c r="F8" s="18">
        <v>1</v>
      </c>
      <c r="G8" s="18" t="s">
        <v>4</v>
      </c>
      <c r="H8" s="55"/>
      <c r="I8" s="42" t="str">
        <f t="shared" ref="I8:I26" si="0">CONCATENATE("* ",B8, " ",E8,"..",F8," ",G8," ##34#",C8,"##34# ##334#",D8,"##334#")</f>
        <v>* header 1..1 BackboneElement ##34#A.1 Report header data elements##34# ##334#A.1 Report header data elements##334#</v>
      </c>
    </row>
    <row r="9" spans="1:9" ht="44.25" x14ac:dyDescent="0.75">
      <c r="A9" s="18">
        <v>2</v>
      </c>
      <c r="B9" s="18" t="s">
        <v>257</v>
      </c>
      <c r="C9" s="18" t="s">
        <v>342</v>
      </c>
      <c r="D9" s="18" t="s">
        <v>339</v>
      </c>
      <c r="E9" s="18">
        <v>1</v>
      </c>
      <c r="F9" s="18">
        <v>1</v>
      </c>
      <c r="G9" s="18" t="s">
        <v>338</v>
      </c>
      <c r="H9" s="55"/>
      <c r="I9" s="42" t="str">
        <f t="shared" si="0"/>
        <v>* header.subject 1..1 http://hl7.eu/fhir/ig/xeh/StructureDefinition/Subject ##34#A.1.1 - A1.2 Patient/subject##34# ##334#A.1.1 Identification of the patient/subject and A.1.2 Patient/subject related contact information  ##334#</v>
      </c>
    </row>
    <row r="10" spans="1:9" ht="44.25" x14ac:dyDescent="0.75">
      <c r="A10" s="18">
        <v>3</v>
      </c>
      <c r="B10" s="18" t="s">
        <v>363</v>
      </c>
      <c r="C10" s="18" t="s">
        <v>340</v>
      </c>
      <c r="D10" s="18" t="s">
        <v>340</v>
      </c>
      <c r="E10" s="18">
        <v>0</v>
      </c>
      <c r="F10" s="18">
        <v>1</v>
      </c>
      <c r="G10" s="76" t="s">
        <v>373</v>
      </c>
      <c r="H10" s="55"/>
      <c r="I10" s="42" t="str">
        <f t="shared" si="0"/>
        <v>* header.payer 0..1 http://hl7.eu/fhir/ig/xeh/StructureDefinition/Payer ##34#A.1.3 Health insurance and payment information##34# ##334#A.1.3 Health insurance and payment information##334#</v>
      </c>
    </row>
    <row r="11" spans="1:9" ht="73.75" x14ac:dyDescent="0.75">
      <c r="A11" s="18">
        <v>4</v>
      </c>
      <c r="B11" s="18" t="s">
        <v>269</v>
      </c>
      <c r="C11" s="19" t="s">
        <v>258</v>
      </c>
      <c r="D11" s="19" t="s">
        <v>341</v>
      </c>
      <c r="E11" s="18">
        <v>0</v>
      </c>
      <c r="F11" s="18">
        <v>1</v>
      </c>
      <c r="G11" s="76" t="s">
        <v>411</v>
      </c>
      <c r="H11" s="55"/>
      <c r="I11" s="42"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1:9" ht="44.25" x14ac:dyDescent="0.75">
      <c r="A12" s="18">
        <v>5</v>
      </c>
      <c r="B12" s="18" t="s">
        <v>415</v>
      </c>
      <c r="C12" s="19" t="s">
        <v>413</v>
      </c>
      <c r="D12" s="19" t="s">
        <v>93</v>
      </c>
      <c r="E12" s="18">
        <v>0</v>
      </c>
      <c r="F12" s="18" t="s">
        <v>11</v>
      </c>
      <c r="G12" s="76" t="s">
        <v>420</v>
      </c>
      <c r="H12" s="55"/>
      <c r="I12" s="42" t="str">
        <f t="shared" si="0"/>
        <v>* header.author 0..* http://hl7.eu/fhir/ig/xeh/StructureDefinition/Author ##34#A.1.5 Author##34# ##334#A.1.5 Author (by whom the Laboratory result report or a subset of its results was authored)##334#</v>
      </c>
    </row>
    <row r="13" spans="1:9" ht="59" x14ac:dyDescent="0.75">
      <c r="A13" s="18">
        <v>6</v>
      </c>
      <c r="B13" s="18" t="s">
        <v>416</v>
      </c>
      <c r="C13" s="19" t="s">
        <v>414</v>
      </c>
      <c r="D13" s="19" t="s">
        <v>102</v>
      </c>
      <c r="E13" s="18">
        <v>0</v>
      </c>
      <c r="F13" s="18" t="s">
        <v>11</v>
      </c>
      <c r="G13" s="76" t="s">
        <v>419</v>
      </c>
      <c r="H13" s="55"/>
      <c r="I13" s="42" t="str">
        <f t="shared" si="0"/>
        <v>* header.legalAuthenticator 0..* http://hl7.eu/fhir/ig/xeh/StructureDefinition/LegalAuthenticator ##34#A.1.6 Legal authenticator ##34# ##334#A.1.6 Legal authenticator (The person taking responsibility for the medical content of the document)##334#</v>
      </c>
    </row>
    <row r="14" spans="1:9" ht="29.5" x14ac:dyDescent="0.75">
      <c r="A14" s="18">
        <v>7</v>
      </c>
      <c r="B14" s="18" t="s">
        <v>270</v>
      </c>
      <c r="C14" s="19" t="s">
        <v>114</v>
      </c>
      <c r="D14" s="19" t="s">
        <v>114</v>
      </c>
      <c r="E14" s="18">
        <v>0</v>
      </c>
      <c r="F14" s="18" t="s">
        <v>11</v>
      </c>
      <c r="G14" s="77" t="s">
        <v>412</v>
      </c>
      <c r="H14" s="55"/>
      <c r="I14" s="42" t="str">
        <f t="shared" si="0"/>
        <v>* header.validator 0..* http://hl7.eu/fhir/ig/xeh/StructureDefinition/Validator ##34#A.1.7 Result validator##34# ##334#A.1.7 Result validator##334#</v>
      </c>
    </row>
    <row r="15" spans="1:9" ht="29.5" x14ac:dyDescent="0.75">
      <c r="A15" s="18">
        <v>8</v>
      </c>
      <c r="B15" s="18" t="s">
        <v>271</v>
      </c>
      <c r="C15" s="18" t="s">
        <v>126</v>
      </c>
      <c r="D15" s="18" t="s">
        <v>126</v>
      </c>
      <c r="E15" s="18">
        <v>1</v>
      </c>
      <c r="F15" s="18">
        <v>1</v>
      </c>
      <c r="G15" s="18" t="s">
        <v>4</v>
      </c>
      <c r="H15" s="55"/>
      <c r="I15" s="42" t="str">
        <f t="shared" si="0"/>
        <v>* header.metadata 1..1 BackboneElement ##34#A.1.8 Laboratory report metadata##34# ##334#A.1.8 Laboratory report metadata##334#</v>
      </c>
    </row>
    <row r="16" spans="1:9" ht="44.25" x14ac:dyDescent="0.75">
      <c r="A16" s="18">
        <v>9</v>
      </c>
      <c r="B16" s="18" t="s">
        <v>272</v>
      </c>
      <c r="C16" s="18" t="s">
        <v>259</v>
      </c>
      <c r="D16" s="19" t="s">
        <v>264</v>
      </c>
      <c r="E16" s="18">
        <v>1</v>
      </c>
      <c r="F16" s="18">
        <v>1</v>
      </c>
      <c r="G16" s="18" t="s">
        <v>1</v>
      </c>
      <c r="H16" s="55"/>
      <c r="I16" s="42" t="str">
        <f t="shared" si="0"/>
        <v>* header.metadata.type 1..1 CodeableConcept ##34#A.1.8.1 Document type##34# ##334#A coded type of the document. Fixed value "Laboratory report" - Preferred system(s): LOINC##334#</v>
      </c>
    </row>
    <row r="17" spans="1:11" ht="44.25" x14ac:dyDescent="0.75">
      <c r="A17" s="18">
        <v>10</v>
      </c>
      <c r="B17" s="18" t="s">
        <v>273</v>
      </c>
      <c r="C17" s="18" t="s">
        <v>260</v>
      </c>
      <c r="D17" s="19" t="s">
        <v>265</v>
      </c>
      <c r="E17" s="18">
        <v>1</v>
      </c>
      <c r="F17" s="18">
        <v>1</v>
      </c>
      <c r="G17" s="18" t="s">
        <v>1</v>
      </c>
      <c r="H17" s="55"/>
      <c r="I17" s="42" t="str">
        <f t="shared" si="0"/>
        <v>* header.metadata.status 1..1 CodeableConcept ##34#A.1.8.2 Document status##34# ##334#The status of the laboratory test result report. E.g., preliminary, final. - Preferred system(s): hl7:DiagnosticReportStatus##334#</v>
      </c>
      <c r="J17" s="23"/>
      <c r="K17" s="18"/>
    </row>
    <row r="18" spans="1:11" ht="44.25" x14ac:dyDescent="0.75">
      <c r="A18" s="18">
        <v>11</v>
      </c>
      <c r="B18" s="18" t="s">
        <v>274</v>
      </c>
      <c r="C18" s="18" t="s">
        <v>261</v>
      </c>
      <c r="D18" s="19" t="s">
        <v>266</v>
      </c>
      <c r="E18" s="20">
        <v>1</v>
      </c>
      <c r="F18" s="20">
        <v>1</v>
      </c>
      <c r="G18" s="20" t="s">
        <v>2</v>
      </c>
      <c r="I18" s="42" t="str">
        <f t="shared" si="0"/>
        <v>* header.metadata.dateTime 1..1 dateTime ##34#A.1.8.3 Report date and time##34# ##334#Date and time of the result report creation. - Preferred system(s): ISO 8601##334#</v>
      </c>
    </row>
    <row r="19" spans="1:11" ht="44.25" x14ac:dyDescent="0.75">
      <c r="A19" s="18">
        <v>12</v>
      </c>
      <c r="B19" s="18" t="s">
        <v>275</v>
      </c>
      <c r="C19" s="18" t="s">
        <v>262</v>
      </c>
      <c r="D19" s="19" t="s">
        <v>267</v>
      </c>
      <c r="E19" s="20">
        <v>0</v>
      </c>
      <c r="F19" s="20">
        <v>1</v>
      </c>
      <c r="G19" s="20" t="s">
        <v>3</v>
      </c>
      <c r="I19" s="42" t="str">
        <f t="shared" si="0"/>
        <v>* header.metadata.title 0..1 string ##34#A.1.8.4 Document title##34# ##334#Document title, e.g. "Laboratory Result report" - Preferred system(s): ##334#</v>
      </c>
    </row>
    <row r="20" spans="1:11" ht="44.25" x14ac:dyDescent="0.75">
      <c r="A20" s="18">
        <v>13</v>
      </c>
      <c r="B20" s="18" t="s">
        <v>276</v>
      </c>
      <c r="C20" s="18" t="s">
        <v>263</v>
      </c>
      <c r="D20" s="19" t="s">
        <v>268</v>
      </c>
      <c r="E20" s="20">
        <v>0</v>
      </c>
      <c r="F20" s="20">
        <v>1</v>
      </c>
      <c r="G20" s="18" t="s">
        <v>4</v>
      </c>
      <c r="I20" s="42" t="str">
        <f t="shared" si="0"/>
        <v>* header.metadata.custodian 0..1 BackboneElement ##34#A.1.8.5 Report custodian##34# ##334#Organisation that is in charge of maintaining the laboratory report - Preferred system(s): ##334#</v>
      </c>
    </row>
    <row r="21" spans="1:11" ht="73.75" x14ac:dyDescent="0.75">
      <c r="A21" s="18">
        <v>14</v>
      </c>
      <c r="B21" s="18" t="s">
        <v>343</v>
      </c>
      <c r="C21" s="18" t="s">
        <v>344</v>
      </c>
      <c r="D21" s="5" t="s">
        <v>345</v>
      </c>
      <c r="E21" s="20">
        <v>0</v>
      </c>
      <c r="F21" s="18" t="s">
        <v>11</v>
      </c>
      <c r="G21" s="76" t="s">
        <v>469</v>
      </c>
      <c r="I21" s="42" t="str">
        <f t="shared" si="0"/>
        <v>* order 0..* http://hl7.eu/fhir/ig/xeh/StructureDefinition/Order ##34#A.2-A.3 Order##34# ##334#A.2 Order information (Laboratory Result Report could respond to multiple test orders)
A.3 Order reason (Laboratory Result Report could respond to multiple reasons)
##334#</v>
      </c>
    </row>
    <row r="22" spans="1:11" ht="44.25" x14ac:dyDescent="0.75">
      <c r="A22" s="18">
        <v>15</v>
      </c>
      <c r="B22" s="20" t="s">
        <v>346</v>
      </c>
      <c r="C22" s="18" t="s">
        <v>169</v>
      </c>
      <c r="D22" s="18" t="s">
        <v>169</v>
      </c>
      <c r="E22" s="20">
        <v>0</v>
      </c>
      <c r="F22" s="18" t="s">
        <v>11</v>
      </c>
      <c r="G22" s="83" t="s">
        <v>563</v>
      </c>
      <c r="I22" s="42" t="str">
        <f t="shared" si="0"/>
        <v>* specimen 0..* http://hl7.eu/fhir/ig/xeh/StructureDefinition/Specimen-eHN ##34#A.4 Specimen information##34# ##334#A.4 Specimen information##334#</v>
      </c>
    </row>
    <row r="23" spans="1:11" ht="29.5" x14ac:dyDescent="0.75">
      <c r="A23" s="18">
        <v>16</v>
      </c>
      <c r="B23" s="20" t="s">
        <v>347</v>
      </c>
      <c r="C23" s="18" t="s">
        <v>198</v>
      </c>
      <c r="D23" s="18" t="s">
        <v>198</v>
      </c>
      <c r="E23" s="20">
        <v>0</v>
      </c>
      <c r="F23" s="18" t="s">
        <v>11</v>
      </c>
      <c r="G23" s="76" t="s">
        <v>561</v>
      </c>
      <c r="I23" s="42" t="str">
        <f t="shared" si="0"/>
        <v>* result 0..* http://hl7.eu/fhir/ig/xeh/StructureDefinition/Result ##34#A.5 Results data elements##34# ##334#A.5 Results data elements##334#</v>
      </c>
    </row>
    <row r="24" spans="1:11" x14ac:dyDescent="0.75">
      <c r="I24" s="42" t="str">
        <f t="shared" si="0"/>
        <v>*  ..  ##34###34# ##334###334#</v>
      </c>
    </row>
    <row r="25" spans="1:11" x14ac:dyDescent="0.75">
      <c r="I25" s="42" t="str">
        <f t="shared" si="0"/>
        <v>*  ..  ##34###34# ##334###334#</v>
      </c>
    </row>
    <row r="26" spans="1:11" x14ac:dyDescent="0.75">
      <c r="B26" s="12"/>
      <c r="F26" s="12"/>
      <c r="I26" s="42" t="str">
        <f t="shared" si="0"/>
        <v>*  ..  ##34###34# ##334###334#</v>
      </c>
    </row>
    <row r="27" spans="1:11" x14ac:dyDescent="0.75">
      <c r="I27" s="42"/>
    </row>
    <row r="30" spans="1:11" x14ac:dyDescent="0.75">
      <c r="C30" s="12"/>
    </row>
  </sheetData>
  <hyperlinks>
    <hyperlink ref="G22" r:id="rId1" xr:uid="{109FE726-E36C-48BB-9CE4-7BA654726C8F}"/>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3"/>
  <sheetViews>
    <sheetView workbookViewId="0">
      <selection activeCell="C36" sqref="C36"/>
    </sheetView>
  </sheetViews>
  <sheetFormatPr defaultRowHeight="14.75" x14ac:dyDescent="0.75"/>
  <cols>
    <col min="1" max="1" width="8.7265625" style="16"/>
    <col min="2" max="2" width="31.6796875" style="16" bestFit="1" customWidth="1"/>
    <col min="3" max="3" width="76.40625" style="17" customWidth="1"/>
    <col min="4" max="4" width="8.04296875" style="16" customWidth="1"/>
    <col min="5" max="5" width="101.2265625" style="17" customWidth="1"/>
    <col min="6" max="6" width="10.76953125" style="16" customWidth="1"/>
    <col min="7" max="7" width="45.26953125" style="16" customWidth="1"/>
    <col min="8" max="16384" width="8.7265625" style="16"/>
  </cols>
  <sheetData>
    <row r="1" spans="1:15" x14ac:dyDescent="0.75">
      <c r="B1" s="21"/>
      <c r="C1" s="3"/>
      <c r="E1" s="32" t="s">
        <v>37</v>
      </c>
      <c r="H1" s="12"/>
      <c r="I1" s="12"/>
      <c r="J1" s="12"/>
      <c r="K1" s="12"/>
      <c r="L1" s="12"/>
      <c r="M1" s="12"/>
      <c r="N1" s="12"/>
      <c r="O1" s="12"/>
    </row>
    <row r="2" spans="1:15" x14ac:dyDescent="0.75">
      <c r="B2" s="21"/>
      <c r="C2" s="3"/>
      <c r="E2" s="39" t="s">
        <v>38</v>
      </c>
      <c r="H2" s="12"/>
      <c r="I2" s="12"/>
      <c r="J2" s="12"/>
      <c r="K2" s="12"/>
      <c r="L2" s="12"/>
      <c r="M2" s="12"/>
      <c r="N2" s="12"/>
      <c r="O2" s="12"/>
    </row>
    <row r="3" spans="1:15" ht="15.5" thickBot="1" x14ac:dyDescent="0.9">
      <c r="B3" s="21"/>
      <c r="C3" s="3"/>
      <c r="E3" s="39" t="str">
        <f>E1</f>
        <v>// -------------------------------------------------------------------------------</v>
      </c>
      <c r="H3" s="12"/>
      <c r="I3" s="12"/>
      <c r="J3" s="12"/>
      <c r="K3" s="12"/>
      <c r="L3" s="12"/>
      <c r="M3" s="12"/>
      <c r="N3" s="12"/>
      <c r="O3" s="12"/>
    </row>
    <row r="4" spans="1:15" ht="15.5" thickBot="1" x14ac:dyDescent="0.9">
      <c r="B4" s="15" t="s">
        <v>34</v>
      </c>
      <c r="C4" s="64" t="s">
        <v>337</v>
      </c>
      <c r="E4" s="36" t="str">
        <f>CONCATENATE("Mapping: ",C4)</f>
        <v>Mapping: eHNLab2Fhir</v>
      </c>
      <c r="H4" s="12"/>
      <c r="I4" s="12"/>
      <c r="J4" s="12"/>
      <c r="K4" s="12"/>
      <c r="L4" s="12"/>
      <c r="M4" s="12"/>
      <c r="N4" s="12"/>
      <c r="O4" s="12"/>
    </row>
    <row r="5" spans="1:15" ht="15.5" thickBot="1" x14ac:dyDescent="0.9">
      <c r="B5" s="15" t="s">
        <v>19</v>
      </c>
      <c r="C5" s="22" t="s">
        <v>16</v>
      </c>
      <c r="E5" s="37" t="str">
        <f>CONCATENATE("Id: ",C5)</f>
        <v>Id: fhir</v>
      </c>
      <c r="H5" s="12"/>
      <c r="I5" s="12"/>
      <c r="J5" s="12"/>
      <c r="K5" s="12"/>
      <c r="L5" s="12"/>
      <c r="M5" s="12"/>
      <c r="N5" s="12"/>
      <c r="O5" s="12"/>
    </row>
    <row r="6" spans="1:15" ht="15.5" thickBot="1" x14ac:dyDescent="0.9">
      <c r="B6" s="15" t="s">
        <v>13</v>
      </c>
      <c r="C6" s="65" t="s">
        <v>335</v>
      </c>
      <c r="E6" s="37" t="str">
        <f>CONCATENATE("Title: ##34#",C6,"##34#")</f>
        <v>Title: ##34#eHN Lab model to FHIR R4 Map##34#</v>
      </c>
      <c r="H6" s="12"/>
      <c r="I6" s="12"/>
      <c r="J6" s="12"/>
      <c r="K6" s="12"/>
      <c r="L6" s="12"/>
      <c r="M6" s="12"/>
      <c r="N6" s="12"/>
      <c r="O6" s="12"/>
    </row>
    <row r="7" spans="1:15" ht="15.5" thickBot="1" x14ac:dyDescent="0.9">
      <c r="B7" s="15" t="s">
        <v>35</v>
      </c>
      <c r="C7" s="66" t="str">
        <f>B9</f>
        <v>LabReport</v>
      </c>
      <c r="E7" s="37" t="str">
        <f>CONCATENATE("Source: ",C7)</f>
        <v>Source: LabReport</v>
      </c>
      <c r="H7" s="12"/>
      <c r="I7" s="12"/>
      <c r="J7" s="12"/>
      <c r="K7" s="12"/>
      <c r="L7" s="12"/>
      <c r="M7" s="12"/>
      <c r="N7" s="12"/>
      <c r="O7" s="12"/>
    </row>
    <row r="8" spans="1:15" ht="15.5" thickBot="1" x14ac:dyDescent="0.9">
      <c r="B8" s="35" t="s">
        <v>18</v>
      </c>
      <c r="C8" s="17" t="s">
        <v>15</v>
      </c>
      <c r="E8" s="38" t="str">
        <f>CONCATENATE("Target: ##34#",C8,"##34#")</f>
        <v>Target: ##34#hl7.org/fhir/r4##34#</v>
      </c>
      <c r="H8" s="12"/>
      <c r="I8" s="12"/>
      <c r="J8" s="12"/>
      <c r="K8" s="12"/>
      <c r="L8" s="12"/>
      <c r="M8" s="12"/>
      <c r="N8" s="12"/>
      <c r="O8" s="12"/>
    </row>
    <row r="9" spans="1:15" x14ac:dyDescent="0.75">
      <c r="A9" s="18"/>
      <c r="B9" s="9" t="str">
        <f>Report!B5</f>
        <v>LabReport</v>
      </c>
      <c r="C9" s="5" t="s">
        <v>278</v>
      </c>
      <c r="E9" s="58" t="str">
        <f>CONCATENATE("* -&gt; ##34#",C9,"##34#")</f>
        <v>* -&gt; ##34#Bundle.conformsTo('http://hl7.eu/fhir/ig/xeh/StructureDefinition/Bundle-lab-xeh')##34#</v>
      </c>
      <c r="H9" s="12"/>
      <c r="I9" s="12"/>
      <c r="J9" s="12"/>
      <c r="K9" s="12"/>
      <c r="L9" s="12"/>
      <c r="M9" s="12"/>
      <c r="N9" s="12"/>
      <c r="O9" s="12"/>
    </row>
    <row r="10" spans="1:15" ht="29.5" x14ac:dyDescent="0.75">
      <c r="A10" s="18"/>
      <c r="B10" s="18" t="str">
        <f>Report!B8</f>
        <v>header</v>
      </c>
      <c r="C10" s="19" t="s">
        <v>277</v>
      </c>
      <c r="E10" s="19" t="str">
        <f t="shared" ref="E10:E26" si="0">IF(B10=0,"*  -&gt; ##34###34#",CONCATENATE("* ",B10," -&gt; ##34#",C10,"##34#"))</f>
        <v>* header -&gt; ##34#Composition.conformsTo('http://hl7.eu/fhir/ig/xeh/StructureDefinition/Composition-lab-xeh')##34#</v>
      </c>
      <c r="H10" s="12"/>
      <c r="I10" s="12"/>
      <c r="J10" s="12"/>
      <c r="K10" s="12"/>
      <c r="L10" s="12"/>
      <c r="M10" s="12"/>
      <c r="N10" s="12"/>
      <c r="O10" s="12"/>
    </row>
    <row r="11" spans="1:15" x14ac:dyDescent="0.75">
      <c r="A11" s="18"/>
      <c r="B11" s="18" t="str">
        <f>Report!B9</f>
        <v>header.subject</v>
      </c>
      <c r="C11" s="19" t="s">
        <v>280</v>
      </c>
      <c r="E11" s="19" t="str">
        <f t="shared" si="0"/>
        <v>* header.subject -&gt; ##34#Composition.subject##34#</v>
      </c>
      <c r="H11" s="12"/>
      <c r="I11" s="12"/>
      <c r="J11" s="12"/>
      <c r="K11" s="12"/>
      <c r="L11" s="12"/>
      <c r="M11" s="12"/>
      <c r="N11" s="12"/>
      <c r="O11" s="12"/>
    </row>
    <row r="12" spans="1:15" x14ac:dyDescent="0.75">
      <c r="A12" s="18"/>
      <c r="B12" s="18" t="str">
        <f>Report!B10</f>
        <v>header.payer</v>
      </c>
      <c r="C12" s="19" t="s">
        <v>279</v>
      </c>
      <c r="E12" s="19" t="str">
        <f t="shared" si="0"/>
        <v>* header.payer -&gt; ##34#To be mapped##34#</v>
      </c>
      <c r="H12" s="12"/>
      <c r="I12" s="12"/>
      <c r="J12" s="12"/>
      <c r="K12" s="12"/>
      <c r="L12" s="12"/>
      <c r="M12" s="12"/>
      <c r="N12" s="12"/>
      <c r="O12" s="12"/>
    </row>
    <row r="13" spans="1:15" x14ac:dyDescent="0.75">
      <c r="A13" s="18"/>
      <c r="B13" s="18" t="str">
        <f>Report!B11</f>
        <v>header.informationRecipient</v>
      </c>
      <c r="C13" s="19" t="s">
        <v>284</v>
      </c>
      <c r="E13" s="19" t="str">
        <f t="shared" si="0"/>
        <v>* header.informationRecipient -&gt; ##34#.extension('http://hl7.org/fhir/StructureDefinition/cqf-receivingOrganization')##34#</v>
      </c>
      <c r="H13" s="12"/>
      <c r="I13" s="12"/>
      <c r="J13" s="12"/>
      <c r="K13" s="12"/>
      <c r="L13" s="12"/>
      <c r="M13" s="12"/>
      <c r="N13" s="12"/>
      <c r="O13" s="12"/>
    </row>
    <row r="14" spans="1:15" x14ac:dyDescent="0.75">
      <c r="A14" s="18"/>
      <c r="B14" s="18" t="str">
        <f>Report!B12</f>
        <v>header.author</v>
      </c>
      <c r="C14" s="19" t="s">
        <v>427</v>
      </c>
      <c r="E14" s="19" t="str">
        <f t="shared" si="0"/>
        <v>* header.author -&gt; ##34#Composition.author##34#</v>
      </c>
      <c r="H14" s="12"/>
      <c r="I14" s="12"/>
      <c r="J14" s="12"/>
      <c r="K14" s="12"/>
      <c r="L14" s="12"/>
      <c r="M14" s="12"/>
      <c r="N14" s="12"/>
      <c r="O14" s="12"/>
    </row>
    <row r="15" spans="1:15" ht="29.5" x14ac:dyDescent="0.75">
      <c r="A15" s="18"/>
      <c r="B15" s="18" t="str">
        <f>Report!B13</f>
        <v>header.legalAuthenticator</v>
      </c>
      <c r="C15" s="19" t="s">
        <v>428</v>
      </c>
      <c r="E15" s="19" t="str">
        <f t="shared" si="0"/>
        <v>* header.legalAuthenticator -&gt; ##34#Composition.attester.where(mode=http://hl7.org/fhir/composition-attestation-mode#legal)##34#</v>
      </c>
      <c r="H15" s="12"/>
      <c r="I15" s="12"/>
      <c r="J15" s="12"/>
      <c r="K15" s="12"/>
      <c r="L15" s="12"/>
      <c r="M15" s="12"/>
      <c r="N15" s="12"/>
      <c r="O15" s="12"/>
    </row>
    <row r="16" spans="1:15" ht="29.5" x14ac:dyDescent="0.75">
      <c r="A16" s="18"/>
      <c r="B16" s="18" t="str">
        <f>Report!B14</f>
        <v>header.validator</v>
      </c>
      <c r="C16" s="19" t="s">
        <v>429</v>
      </c>
      <c r="E16" s="19" t="str">
        <f t="shared" si="0"/>
        <v>* header.validator -&gt; ##34#Composition.attester.where(mode=http://hl7.org/fhir/composition-attestation-mode#professional)##34#</v>
      </c>
      <c r="H16" s="12"/>
      <c r="I16" s="12"/>
      <c r="J16" s="12"/>
      <c r="K16" s="12"/>
      <c r="L16" s="12"/>
      <c r="M16" s="12"/>
      <c r="N16" s="12"/>
      <c r="O16" s="12"/>
    </row>
    <row r="17" spans="1:5" x14ac:dyDescent="0.75">
      <c r="A17" s="18"/>
      <c r="B17" s="18" t="str">
        <f>Report!B15</f>
        <v>header.metadata</v>
      </c>
      <c r="C17" s="19" t="s">
        <v>287</v>
      </c>
      <c r="E17" s="19" t="str">
        <f t="shared" si="0"/>
        <v>* header.metadata -&gt; ##34#Composition##34#</v>
      </c>
    </row>
    <row r="18" spans="1:5" x14ac:dyDescent="0.75">
      <c r="A18" s="18"/>
      <c r="B18" s="18" t="str">
        <f>Report!B16</f>
        <v>header.metadata.type</v>
      </c>
      <c r="C18" s="19" t="s">
        <v>286</v>
      </c>
      <c r="E18" s="19" t="str">
        <f t="shared" si="0"/>
        <v>* header.metadata.type -&gt; ##34#Composition.type##34#</v>
      </c>
    </row>
    <row r="19" spans="1:5" x14ac:dyDescent="0.75">
      <c r="A19" s="18"/>
      <c r="B19" s="18" t="str">
        <f>Report!B17</f>
        <v>header.metadata.status</v>
      </c>
      <c r="C19" s="19" t="s">
        <v>282</v>
      </c>
      <c r="E19" s="19" t="str">
        <f t="shared" si="0"/>
        <v>* header.metadata.status -&gt; ##34#Composition.status##34#</v>
      </c>
    </row>
    <row r="20" spans="1:5" x14ac:dyDescent="0.75">
      <c r="A20" s="18"/>
      <c r="B20" s="18" t="str">
        <f>Report!B18</f>
        <v>header.metadata.dateTime</v>
      </c>
      <c r="C20" s="19" t="s">
        <v>281</v>
      </c>
      <c r="E20" s="19" t="str">
        <f t="shared" si="0"/>
        <v>* header.metadata.dateTime -&gt; ##34#Bundle.timestamp##34#</v>
      </c>
    </row>
    <row r="21" spans="1:5" x14ac:dyDescent="0.75">
      <c r="B21" s="18" t="str">
        <f>Report!B19</f>
        <v>header.metadata.title</v>
      </c>
      <c r="C21" s="19" t="s">
        <v>283</v>
      </c>
      <c r="E21" s="19" t="str">
        <f t="shared" si="0"/>
        <v>* header.metadata.title -&gt; ##34#Composition.title##34#</v>
      </c>
    </row>
    <row r="22" spans="1:5" x14ac:dyDescent="0.75">
      <c r="B22" s="18" t="str">
        <f>Report!B20</f>
        <v>header.metadata.custodian</v>
      </c>
      <c r="C22" s="19" t="s">
        <v>285</v>
      </c>
      <c r="E22" s="19" t="str">
        <f t="shared" si="0"/>
        <v>* header.metadata.custodian -&gt; ##34#Composition.custodian##34#</v>
      </c>
    </row>
    <row r="23" spans="1:5" ht="29.5" x14ac:dyDescent="0.75">
      <c r="B23" s="18" t="str">
        <f>Report!B21</f>
        <v>order</v>
      </c>
      <c r="C23" s="19" t="s">
        <v>348</v>
      </c>
      <c r="E23" s="19" t="str">
        <f t="shared" si="0"/>
        <v>* order -&gt; ##34#Composition.extension('http://hl7.eu/fhir/ig/xeh/StructureDefinition/composition-basedOn-order-or-requisition').valueReference.resolve()##34#</v>
      </c>
    </row>
    <row r="24" spans="1:5" ht="29.5" x14ac:dyDescent="0.75">
      <c r="B24" s="18" t="str">
        <f>Report!B22</f>
        <v>specimen</v>
      </c>
      <c r="C24" s="19" t="s">
        <v>349</v>
      </c>
      <c r="E24" s="19" t="str">
        <f t="shared" si="0"/>
        <v>* specimen -&gt; ##34#Observation.conformsTo('http://hl7.eu/fhir/ig/xeh/StructureDefinition/Observation-results-laboratory-eu-xeh').specimen.resolve()##34#</v>
      </c>
    </row>
    <row r="25" spans="1:5" x14ac:dyDescent="0.75">
      <c r="B25" s="18" t="str">
        <f>Report!B23</f>
        <v>result</v>
      </c>
      <c r="C25" s="19" t="s">
        <v>350</v>
      </c>
      <c r="E25" s="19" t="str">
        <f t="shared" si="0"/>
        <v>* result -&gt; ##34#Composition.section.entry.resolve(); Composition.section.section.entry.resolve() ##34#</v>
      </c>
    </row>
    <row r="26" spans="1:5" x14ac:dyDescent="0.75">
      <c r="B26" s="18">
        <f>Report!B24</f>
        <v>0</v>
      </c>
      <c r="C26" s="19"/>
      <c r="E26" s="19" t="str">
        <f t="shared" si="0"/>
        <v>*  -&gt; ##34###34#</v>
      </c>
    </row>
    <row r="27" spans="1:5" x14ac:dyDescent="0.75">
      <c r="B27" s="18">
        <f>Report!B25</f>
        <v>0</v>
      </c>
      <c r="E27" s="19" t="str">
        <f t="shared" ref="E27:E31" si="1">IF(B27=0,"*  -&gt; ##34###34#",CONCATENATE("* ",B27," -&gt; ##34#",C27,"##34#"))</f>
        <v>*  -&gt; ##34###34#</v>
      </c>
    </row>
    <row r="28" spans="1:5" x14ac:dyDescent="0.75">
      <c r="B28" s="18">
        <f>Report!B26</f>
        <v>0</v>
      </c>
      <c r="C28" s="19"/>
      <c r="E28" s="19" t="str">
        <f t="shared" si="1"/>
        <v>*  -&gt; ##34###34#</v>
      </c>
    </row>
    <row r="29" spans="1:5" x14ac:dyDescent="0.75">
      <c r="B29" s="18">
        <f>Report!B27</f>
        <v>0</v>
      </c>
      <c r="E29" s="19" t="str">
        <f t="shared" si="1"/>
        <v>*  -&gt; ##34###34#</v>
      </c>
    </row>
    <row r="30" spans="1:5" x14ac:dyDescent="0.75">
      <c r="B30" s="18">
        <f>Report!B28</f>
        <v>0</v>
      </c>
      <c r="E30" s="19" t="str">
        <f t="shared" si="1"/>
        <v>*  -&gt; ##34###34#</v>
      </c>
    </row>
    <row r="31" spans="1:5" x14ac:dyDescent="0.75">
      <c r="B31" s="18">
        <f>Report!B29</f>
        <v>0</v>
      </c>
      <c r="E31" s="19" t="str">
        <f t="shared" si="1"/>
        <v>*  -&gt; ##34###34#</v>
      </c>
    </row>
    <row r="32" spans="1:5" x14ac:dyDescent="0.75">
      <c r="B32" s="18">
        <f>Report!B30</f>
        <v>0</v>
      </c>
    </row>
    <row r="33" spans="2:5" x14ac:dyDescent="0.75">
      <c r="B33" s="18">
        <f>Report!B31</f>
        <v>0</v>
      </c>
    </row>
    <row r="34" spans="2:5" x14ac:dyDescent="0.75">
      <c r="B34" s="18">
        <f>Report!B32</f>
        <v>0</v>
      </c>
    </row>
    <row r="35" spans="2:5" x14ac:dyDescent="0.75">
      <c r="B35" s="18">
        <f>Report!B35</f>
        <v>0</v>
      </c>
    </row>
    <row r="36" spans="2:5" x14ac:dyDescent="0.75">
      <c r="B36" s="18">
        <f>Report!B36</f>
        <v>0</v>
      </c>
    </row>
    <row r="37" spans="2:5" x14ac:dyDescent="0.75">
      <c r="B37" s="18">
        <f>Report!B37</f>
        <v>0</v>
      </c>
      <c r="E37" s="17" t="s">
        <v>351</v>
      </c>
    </row>
    <row r="38" spans="2:5" x14ac:dyDescent="0.75">
      <c r="B38" s="18">
        <f>Report!B38</f>
        <v>0</v>
      </c>
    </row>
    <row r="39" spans="2:5" x14ac:dyDescent="0.75">
      <c r="B39" s="18">
        <f>Report!B35</f>
        <v>0</v>
      </c>
    </row>
    <row r="40" spans="2:5" x14ac:dyDescent="0.75">
      <c r="B40" s="18">
        <f>Report!B38</f>
        <v>0</v>
      </c>
    </row>
    <row r="41" spans="2:5" x14ac:dyDescent="0.75">
      <c r="B41" s="18">
        <f>Report!B39</f>
        <v>0</v>
      </c>
    </row>
    <row r="42" spans="2:5" x14ac:dyDescent="0.75">
      <c r="B42" s="18">
        <f>Report!B40</f>
        <v>0</v>
      </c>
    </row>
    <row r="43" spans="2:5" x14ac:dyDescent="0.75">
      <c r="B43" s="18">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8"/>
  <sheetViews>
    <sheetView workbookViewId="0">
      <selection activeCell="C40" sqref="C40:C58"/>
    </sheetView>
  </sheetViews>
  <sheetFormatPr defaultRowHeight="14.75" x14ac:dyDescent="0.75"/>
  <cols>
    <col min="1" max="2" width="8.7265625" style="16"/>
    <col min="3" max="3" width="108.2265625" style="19" customWidth="1"/>
    <col min="4" max="6" width="8.7265625" style="16"/>
    <col min="7" max="7" width="29.54296875" style="16" customWidth="1"/>
    <col min="8" max="16384" width="8.7265625" style="16"/>
  </cols>
  <sheetData>
    <row r="1" spans="3:7" ht="15.5" thickBot="1" x14ac:dyDescent="0.9">
      <c r="C1" s="40" t="str">
        <f>Report!I1</f>
        <v>// -------------------------------------------------------------------------------</v>
      </c>
    </row>
    <row r="2" spans="3:7" ht="16.75" thickBot="1" x14ac:dyDescent="0.9">
      <c r="C2" s="41" t="str">
        <f>Report!I2</f>
        <v>//  Logical Model</v>
      </c>
      <c r="G2" s="68" t="s">
        <v>372</v>
      </c>
    </row>
    <row r="3" spans="3:7" x14ac:dyDescent="0.75">
      <c r="C3" s="41" t="str">
        <f>Report!I3</f>
        <v>// -------------------------------------------------------------------------------</v>
      </c>
    </row>
    <row r="4" spans="3:7" x14ac:dyDescent="0.75">
      <c r="C4" s="33" t="str">
        <f>Report!I4</f>
        <v>Logical: LabReportEhn</v>
      </c>
    </row>
    <row r="5" spans="3:7" x14ac:dyDescent="0.75">
      <c r="C5" s="33" t="str">
        <f>Report!I5</f>
        <v>Id: LabReport</v>
      </c>
    </row>
    <row r="6" spans="3:7" x14ac:dyDescent="0.75">
      <c r="C6" s="33" t="str">
        <f>Report!I6</f>
        <v>Title: ##34#Laboratory Report##34#</v>
      </c>
    </row>
    <row r="7" spans="3:7" ht="29.5" x14ac:dyDescent="0.75">
      <c r="C7" s="33" t="str">
        <f>Report!I7</f>
        <v>Description:  ##334#Laboratory Report##334#</v>
      </c>
    </row>
    <row r="8" spans="3:7" ht="29.5" x14ac:dyDescent="0.75">
      <c r="C8" s="19" t="str">
        <f>IF(Report!I8="*  ..  ##34###34# ##334###334#","//--- END",Report!I8)</f>
        <v>* header 1..1 BackboneElement ##34#A.1 Report header data elements##34# ##334#A.1 Report header data elements##334#</v>
      </c>
    </row>
    <row r="9" spans="3:7" x14ac:dyDescent="0.75">
      <c r="C9" s="19" t="str">
        <f>IF(Report!I9="*  ..  ##34###34# ##334###334#","//--- END",Report!I9)</f>
        <v>* header.subject 1..1 http://hl7.eu/fhir/ig/xeh/StructureDefinition/Subject ##34#A.1.1 - A1.2 Patient/subject##34# ##334#A.1.1 Identification of the patient/subject and A.1.2 Patient/subject related contact information  ##334#</v>
      </c>
    </row>
    <row r="10" spans="3:7" x14ac:dyDescent="0.75">
      <c r="C10" s="19" t="str">
        <f>IF(Report!I10="*  ..  ##34###34# ##334###334#","//--- END",Report!I10)</f>
        <v>* header.payer 0..1 http://hl7.eu/fhir/ig/xeh/StructureDefinition/Payer ##34#A.1.3 Health insurance and payment information##34# ##334#A.1.3 Health insurance and payment information##334#</v>
      </c>
    </row>
    <row r="11" spans="3:7" x14ac:dyDescent="0.75">
      <c r="C11" s="19" t="str">
        <f>IF(Report!I11="*  ..  ##34###34# ##334###334#","//--- END",Report!I11)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9" t="str">
        <f>IF(Report!I12="*  ..  ##34###34# ##334###334#","//--- END",Report!I12)</f>
        <v>* header.author 0..* http://hl7.eu/fhir/ig/xeh/StructureDefinition/Author ##34#A.1.5 Author##34# ##334#A.1.5 Author (by whom the Laboratory result report or a subset of its results was authored)##334#</v>
      </c>
    </row>
    <row r="13" spans="3:7" x14ac:dyDescent="0.75">
      <c r="C13" s="19" t="str">
        <f>IF(Report!I13="*  ..  ##34###34# ##334###334#","//--- END",Report!I13)</f>
        <v>* header.legalAuthenticator 0..* http://hl7.eu/fhir/ig/xeh/StructureDefinition/LegalAuthenticator ##34#A.1.6 Legal authenticator ##34# ##334#A.1.6 Legal authenticator (The person taking responsibility for the medical content of the document)##334#</v>
      </c>
    </row>
    <row r="14" spans="3:7" x14ac:dyDescent="0.75">
      <c r="C14" s="19" t="str">
        <f>IF(Report!I14="*  ..  ##34###34# ##334###334#","//--- END",Report!I14)</f>
        <v>* header.validator 0..* http://hl7.eu/fhir/ig/xeh/StructureDefinition/Validator ##34#A.1.7 Result validator##34# ##334#A.1.7 Result validator##334#</v>
      </c>
    </row>
    <row r="15" spans="3:7" ht="29.5" x14ac:dyDescent="0.75">
      <c r="C15" s="19" t="str">
        <f>IF(Report!I15="*  ..  ##34###34# ##334###334#","//--- END",Report!I15)</f>
        <v>* header.metadata 1..1 BackboneElement ##34#A.1.8 Laboratory report metadata##34# ##334#A.1.8 Laboratory report metadata##334#</v>
      </c>
    </row>
    <row r="16" spans="3:7" ht="29.5" x14ac:dyDescent="0.75">
      <c r="C16" s="19" t="str">
        <f>IF(Report!I16="*  ..  ##34###34# ##334###334#","//--- END",Report!I16)</f>
        <v>* header.metadata.type 1..1 CodeableConcept ##34#A.1.8.1 Document type##34# ##334#A coded type of the document. Fixed value "Laboratory report" - Preferred system(s): LOINC##334#</v>
      </c>
    </row>
    <row r="17" spans="3:3" ht="29.5" x14ac:dyDescent="0.75">
      <c r="C17" s="19" t="str">
        <f>IF(Report!I17="*  ..  ##34###34# ##334###334#","//--- END",Report!I17)</f>
        <v>* header.metadata.status 1..1 CodeableConcept ##34#A.1.8.2 Document status##34# ##334#The status of the laboratory test result report. E.g., preliminary, final. - Preferred system(s): hl7:DiagnosticReportStatus##334#</v>
      </c>
    </row>
    <row r="18" spans="3:3" ht="29.5" x14ac:dyDescent="0.75">
      <c r="C18" s="19" t="str">
        <f>IF(Report!I18="*  ..  ##34###34# ##334###334#","//--- END",Report!I18)</f>
        <v>* header.metadata.dateTime 1..1 dateTime ##34#A.1.8.3 Report date and time##34# ##334#Date and time of the result report creation. - Preferred system(s): ISO 8601##334#</v>
      </c>
    </row>
    <row r="19" spans="3:3" ht="29.5" x14ac:dyDescent="0.75">
      <c r="C19" s="19" t="str">
        <f>IF(Report!I19="*  ..  ##34###34# ##334###334#","//--- END",Report!I19)</f>
        <v>* header.metadata.title 0..1 string ##34#A.1.8.4 Document title##34# ##334#Document title, e.g. "Laboratory Result report" - Preferred system(s): ##334#</v>
      </c>
    </row>
    <row r="20" spans="3:3" ht="29.5" x14ac:dyDescent="0.75">
      <c r="C20" s="19" t="str">
        <f>IF(Report!I20="*  ..  ##34###34# ##334###334#","//--- END",Report!I20)</f>
        <v>* header.metadata.custodian 0..1 BackboneElement ##34#A.1.8.5 Report custodian##34# ##334#Organisation that is in charge of maintaining the laboratory report - Preferred system(s): ##334#</v>
      </c>
    </row>
    <row r="21" spans="3:3" ht="59" x14ac:dyDescent="0.75">
      <c r="C21" s="19" t="str">
        <f>IF(Report!I21="*  ..  ##34###34# ##334###334#","//--- END",Report!I21)</f>
        <v>* order 0..* http://hl7.eu/fhir/ig/xeh/StructureDefinition/Order ##34#A.2-A.3 Order##34# ##334#A.2 Order information (Laboratory Result Report could respond to multiple test orders)
A.3 Order reason (Laboratory Result Report could respond to multiple reasons)
##334#</v>
      </c>
    </row>
    <row r="22" spans="3:3" x14ac:dyDescent="0.75">
      <c r="C22" s="19" t="str">
        <f>IF(Report!I22="*  ..  ##34###34# ##334###334#","//--- END",Report!I22)</f>
        <v>* specimen 0..* http://hl7.eu/fhir/ig/xeh/StructureDefinition/Specimen-eHN ##34#A.4 Specimen information##34# ##334#A.4 Specimen information##334#</v>
      </c>
    </row>
    <row r="23" spans="3:3" x14ac:dyDescent="0.75">
      <c r="C23" s="19" t="str">
        <f>IF(Report!I23="*  ..  ##34###34# ##334###334#","//--- END",Report!I23)</f>
        <v>* result 0..* http://hl7.eu/fhir/ig/xeh/StructureDefinition/Result ##34#A.5 Results data elements##34# ##334#A.5 Results data elements##334#</v>
      </c>
    </row>
    <row r="24" spans="3:3" x14ac:dyDescent="0.75">
      <c r="C24" s="19" t="str">
        <f>IF(Report!I24="*  ..  ##34###34# ##334###334#","//--- END",Report!I24)</f>
        <v>//--- END</v>
      </c>
    </row>
    <row r="25" spans="3:3" x14ac:dyDescent="0.75">
      <c r="C25" s="19" t="str">
        <f>IF(Report!I25="*  ..  ##34###34# ##334###334#","//--- END",Report!I25)</f>
        <v>//--- END</v>
      </c>
    </row>
    <row r="30" spans="3:3" x14ac:dyDescent="0.75">
      <c r="C30" s="40" t="str">
        <f>'Report-Map-1'!E1</f>
        <v>// -------------------------------------------------------------------------------</v>
      </c>
    </row>
    <row r="31" spans="3:3" x14ac:dyDescent="0.75">
      <c r="C31" s="41" t="str">
        <f>'Report-Map-1'!E2</f>
        <v>//  Map to FHIR R4</v>
      </c>
    </row>
    <row r="32" spans="3:3" x14ac:dyDescent="0.75">
      <c r="C32" s="41" t="str">
        <f>'Report-Map-1'!E3</f>
        <v>// -------------------------------------------------------------------------------</v>
      </c>
    </row>
    <row r="33" spans="3:3" x14ac:dyDescent="0.75">
      <c r="C33" s="19" t="str">
        <f>'Report-Map-1'!E4</f>
        <v>Mapping: eHNLab2Fhir</v>
      </c>
    </row>
    <row r="34" spans="3:3" x14ac:dyDescent="0.75">
      <c r="C34" s="19" t="str">
        <f>'Report-Map-1'!E5</f>
        <v>Id: fhir</v>
      </c>
    </row>
    <row r="35" spans="3:3" x14ac:dyDescent="0.75">
      <c r="C35" s="19" t="str">
        <f>'Report-Map-1'!E6</f>
        <v>Title: ##34#eHN Lab model to FHIR R4 Map##34#</v>
      </c>
    </row>
    <row r="36" spans="3:3" x14ac:dyDescent="0.75">
      <c r="C36" s="19" t="str">
        <f>'Report-Map-1'!E7</f>
        <v>Source: LabReport</v>
      </c>
    </row>
    <row r="37" spans="3:3" x14ac:dyDescent="0.75">
      <c r="C37" s="19" t="str">
        <f>'Report-Map-1'!E8</f>
        <v>Target: ##34#hl7.org/fhir/r4##34#</v>
      </c>
    </row>
    <row r="39" spans="3:3" x14ac:dyDescent="0.75">
      <c r="C39" s="5" t="str">
        <f>'Report-Map-1'!E9</f>
        <v>* -&gt; ##34#Bundle.conformsTo('http://hl7.eu/fhir/ig/xeh/StructureDefinition/Bundle-lab-xeh')##34#</v>
      </c>
    </row>
    <row r="40" spans="3:3" x14ac:dyDescent="0.75">
      <c r="C40" s="19" t="str">
        <f>IF('Report-Map-1'!E10="*  -&gt; ##34###34#","// --END",'Report-Map-1'!E10)</f>
        <v>* header -&gt; ##34#Composition.conformsTo('http://hl7.eu/fhir/ig/xeh/StructureDefinition/Composition-lab-xeh')##34#</v>
      </c>
    </row>
    <row r="41" spans="3:3" x14ac:dyDescent="0.75">
      <c r="C41" s="19" t="str">
        <f>IF('Report-Map-1'!E11="*  -&gt; ##34###34#","// --END",'Report-Map-1'!E11)</f>
        <v>* header.subject -&gt; ##34#Composition.subject##34#</v>
      </c>
    </row>
    <row r="42" spans="3:3" x14ac:dyDescent="0.75">
      <c r="C42" s="19" t="str">
        <f>IF('Report-Map-1'!E12="*  -&gt; ##34###34#","// --END",'Report-Map-1'!E12)</f>
        <v>* header.payer -&gt; ##34#To be mapped##34#</v>
      </c>
    </row>
    <row r="43" spans="3:3" x14ac:dyDescent="0.75">
      <c r="C43" s="19" t="str">
        <f>IF('Report-Map-1'!E13="*  -&gt; ##34###34#","// --END",'Report-Map-1'!E13)</f>
        <v>* header.informationRecipient -&gt; ##34#.extension('http://hl7.org/fhir/StructureDefinition/cqf-receivingOrganization')##34#</v>
      </c>
    </row>
    <row r="44" spans="3:3" x14ac:dyDescent="0.75">
      <c r="C44" s="19" t="str">
        <f>IF('Report-Map-1'!E14="*  -&gt; ##34###34#","// --END",'Report-Map-1'!E14)</f>
        <v>* header.author -&gt; ##34#Composition.author##34#</v>
      </c>
    </row>
    <row r="45" spans="3:3" ht="29.5" x14ac:dyDescent="0.75">
      <c r="C45" s="19" t="str">
        <f>IF('Report-Map-1'!E15="*  -&gt; ##34###34#","// --END",'Report-Map-1'!E15)</f>
        <v>* header.legalAuthenticator -&gt; ##34#Composition.attester.where(mode=http://hl7.org/fhir/composition-attestation-mode#legal)##34#</v>
      </c>
    </row>
    <row r="46" spans="3:3" ht="29.5" x14ac:dyDescent="0.75">
      <c r="C46" s="19" t="str">
        <f>IF('Report-Map-1'!E16="*  -&gt; ##34###34#","// --END",'Report-Map-1'!E16)</f>
        <v>* header.validator -&gt; ##34#Composition.attester.where(mode=http://hl7.org/fhir/composition-attestation-mode#professional)##34#</v>
      </c>
    </row>
    <row r="47" spans="3:3" x14ac:dyDescent="0.75">
      <c r="C47" s="19" t="str">
        <f>IF('Report-Map-1'!E17="*  -&gt; ##34###34#","// --END",'Report-Map-1'!E17)</f>
        <v>* header.metadata -&gt; ##34#Composition##34#</v>
      </c>
    </row>
    <row r="48" spans="3:3" x14ac:dyDescent="0.75">
      <c r="C48" s="19" t="str">
        <f>IF('Report-Map-1'!E18="*  -&gt; ##34###34#","// --END",'Report-Map-1'!E18)</f>
        <v>* header.metadata.type -&gt; ##34#Composition.type##34#</v>
      </c>
    </row>
    <row r="49" spans="3:3" x14ac:dyDescent="0.75">
      <c r="C49" s="19" t="str">
        <f>IF('Report-Map-1'!E19="*  -&gt; ##34###34#","// --END",'Report-Map-1'!E19)</f>
        <v>* header.metadata.status -&gt; ##34#Composition.status##34#</v>
      </c>
    </row>
    <row r="50" spans="3:3" x14ac:dyDescent="0.75">
      <c r="C50" s="19" t="str">
        <f>IF('Report-Map-1'!E20="*  -&gt; ##34###34#","// --END",'Report-Map-1'!E20)</f>
        <v>* header.metadata.dateTime -&gt; ##34#Bundle.timestamp##34#</v>
      </c>
    </row>
    <row r="51" spans="3:3" x14ac:dyDescent="0.75">
      <c r="C51" s="19" t="str">
        <f>IF('Report-Map-1'!E21="*  -&gt; ##34###34#","// --END",'Report-Map-1'!E21)</f>
        <v>* header.metadata.title -&gt; ##34#Composition.title##34#</v>
      </c>
    </row>
    <row r="52" spans="3:3" x14ac:dyDescent="0.75">
      <c r="C52" s="19" t="str">
        <f>IF('Report-Map-1'!E22="*  -&gt; ##34###34#","// --END",'Report-Map-1'!E22)</f>
        <v>* header.metadata.custodian -&gt; ##34#Composition.custodian##34#</v>
      </c>
    </row>
    <row r="53" spans="3:3" ht="29.5" x14ac:dyDescent="0.75">
      <c r="C53" s="19" t="str">
        <f>IF('Report-Map-1'!E23="*  -&gt; ##34###34#","// --END",'Report-Map-1'!E23)</f>
        <v>* order -&gt; ##34#Composition.extension('http://hl7.eu/fhir/ig/xeh/StructureDefinition/composition-basedOn-order-or-requisition').valueReference.resolve()##34#</v>
      </c>
    </row>
    <row r="54" spans="3:3" ht="29.5" x14ac:dyDescent="0.75">
      <c r="C54" s="19" t="str">
        <f>IF('Report-Map-1'!E24="*  -&gt; ##34###34#","// --END",'Report-Map-1'!E24)</f>
        <v>* specimen -&gt; ##34#Observation.conformsTo('http://hl7.eu/fhir/ig/xeh/StructureDefinition/Observation-results-laboratory-eu-xeh').specimen.resolve()##34#</v>
      </c>
    </row>
    <row r="55" spans="3:3" x14ac:dyDescent="0.75">
      <c r="C55" s="19" t="str">
        <f>IF('Report-Map-1'!E25="*  -&gt; ##34###34#","// --END",'Report-Map-1'!E25)</f>
        <v>* result -&gt; ##34#Composition.section.entry.resolve(); Composition.section.section.entry.resolve() ##34#</v>
      </c>
    </row>
    <row r="56" spans="3:3" x14ac:dyDescent="0.75">
      <c r="C56" s="19" t="str">
        <f>IF('Report-Map-1'!E26="*  -&gt; ##34###34#","// --END",'Report-Map-1'!E26)</f>
        <v>// --END</v>
      </c>
    </row>
    <row r="57" spans="3:3" x14ac:dyDescent="0.75">
      <c r="C57" s="19" t="str">
        <f>IF('Report-Map-1'!E27="*  -&gt; ##34###34#","// --END",'Report-Map-1'!E27)</f>
        <v>// --END</v>
      </c>
    </row>
    <row r="58" spans="3:3" x14ac:dyDescent="0.75">
      <c r="C58" s="19" t="str">
        <f>IF('Report-Map-1'!E28="*  -&gt; ##34###34#","// --END",'Report-Map-1'!E28)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7" bestFit="1" customWidth="1"/>
    <col min="5" max="5" width="10.81640625" customWidth="1"/>
    <col min="6" max="6" width="9" customWidth="1"/>
    <col min="7" max="7" width="21.76953125" customWidth="1"/>
    <col min="8" max="8" width="21.76953125" style="16" customWidth="1"/>
    <col min="9" max="9" width="67.1796875" style="17" customWidth="1"/>
    <col min="10" max="10" width="19.31640625" customWidth="1"/>
    <col min="12" max="12" width="45.81640625" style="17" customWidth="1"/>
    <col min="13" max="13" width="8.7265625" customWidth="1"/>
  </cols>
  <sheetData>
    <row r="1" spans="1:12" s="16" customFormat="1" x14ac:dyDescent="0.75">
      <c r="B1" s="21"/>
      <c r="C1" s="21"/>
      <c r="D1" s="3"/>
      <c r="I1" s="40" t="s">
        <v>37</v>
      </c>
      <c r="L1" s="17"/>
    </row>
    <row r="2" spans="1:12" s="16" customFormat="1" x14ac:dyDescent="0.75">
      <c r="B2" s="21"/>
      <c r="C2" s="21"/>
      <c r="D2" s="3"/>
      <c r="I2" s="41" t="s">
        <v>36</v>
      </c>
      <c r="L2" s="17"/>
    </row>
    <row r="3" spans="1:12" s="16" customFormat="1" ht="15.5" thickBot="1" x14ac:dyDescent="0.9">
      <c r="B3" s="21"/>
      <c r="C3" s="21"/>
      <c r="D3" s="3"/>
      <c r="I3" s="41" t="str">
        <f>I1</f>
        <v>// -------------------------------------------------------------------------------</v>
      </c>
      <c r="L3" s="17"/>
    </row>
    <row r="4" spans="1:12" s="16" customFormat="1" x14ac:dyDescent="0.75">
      <c r="A4" s="7" t="s">
        <v>14</v>
      </c>
      <c r="B4" s="24" t="s">
        <v>288</v>
      </c>
      <c r="C4" s="21"/>
      <c r="D4" s="3"/>
      <c r="I4" s="33" t="str">
        <f>CONCATENATE("Logical: ",B4)</f>
        <v>Logical: SubjectLabEhn</v>
      </c>
      <c r="L4" s="17"/>
    </row>
    <row r="5" spans="1:12" s="16" customFormat="1" x14ac:dyDescent="0.75">
      <c r="A5" s="25" t="s">
        <v>19</v>
      </c>
      <c r="B5" s="43" t="s">
        <v>12</v>
      </c>
      <c r="C5" s="21"/>
      <c r="D5" s="3"/>
      <c r="I5" s="33" t="str">
        <f>CONCATENATE("Id: ",B5)</f>
        <v>Id: Subject</v>
      </c>
      <c r="L5" s="17"/>
    </row>
    <row r="6" spans="1:12" s="16" customFormat="1" x14ac:dyDescent="0.75">
      <c r="A6" s="27" t="s">
        <v>13</v>
      </c>
      <c r="B6" s="26" t="s">
        <v>454</v>
      </c>
      <c r="C6" s="21"/>
      <c r="D6" s="3"/>
      <c r="I6" s="34" t="str">
        <f>CONCATENATE("Title: ##34#",B6,"##34#")</f>
        <v>Title: ##34#Subject of care (A1.1 - A1.2)##34#</v>
      </c>
      <c r="L6" s="17"/>
    </row>
    <row r="7" spans="1:12" s="16" customFormat="1" ht="15.5" thickBot="1" x14ac:dyDescent="0.9">
      <c r="A7" s="28" t="s">
        <v>5</v>
      </c>
      <c r="B7" s="29" t="s">
        <v>289</v>
      </c>
      <c r="C7" s="14" t="s">
        <v>6</v>
      </c>
      <c r="D7" s="2" t="s">
        <v>7</v>
      </c>
      <c r="E7" s="4" t="s">
        <v>8</v>
      </c>
      <c r="F7" s="4" t="s">
        <v>9</v>
      </c>
      <c r="G7" s="4" t="s">
        <v>10</v>
      </c>
      <c r="I7" s="34" t="str">
        <f>CONCATENATE("Description: "," ##334#",B7,"##334#",)</f>
        <v>Description:  ##334#Patient or Subject of care##334#</v>
      </c>
      <c r="L7" s="17"/>
    </row>
    <row r="8" spans="1:12" s="16" customFormat="1" ht="29.5" x14ac:dyDescent="0.75">
      <c r="A8" s="18">
        <v>1</v>
      </c>
      <c r="B8" s="18" t="s">
        <v>294</v>
      </c>
      <c r="C8" s="23" t="s">
        <v>314</v>
      </c>
      <c r="D8" s="19" t="s">
        <v>314</v>
      </c>
      <c r="E8" s="18">
        <v>1</v>
      </c>
      <c r="F8" s="18">
        <v>1</v>
      </c>
      <c r="G8" s="18" t="s">
        <v>4</v>
      </c>
      <c r="H8" s="31"/>
      <c r="I8" s="42" t="str">
        <f>CONCATENATE("* ",B8, " ",E8,"..",F8," ",G8," ##34#",C8,"##34# ##334#",D8,"##334#")</f>
        <v>* identification 1..1 BackboneElement ##34#A.1.1 Identification of the patient/subject##34# ##334#A.1.1 Identification of the patient/subject##334#</v>
      </c>
      <c r="L8" s="17"/>
    </row>
    <row r="9" spans="1:12" ht="29.5" x14ac:dyDescent="0.75">
      <c r="A9" s="18">
        <v>2</v>
      </c>
      <c r="B9" s="18" t="s">
        <v>296</v>
      </c>
      <c r="C9" s="23" t="s">
        <v>313</v>
      </c>
      <c r="D9" s="19" t="s">
        <v>295</v>
      </c>
      <c r="E9" s="11">
        <v>0</v>
      </c>
      <c r="F9" s="11" t="s">
        <v>11</v>
      </c>
      <c r="G9" s="11" t="s">
        <v>3</v>
      </c>
      <c r="H9" s="31"/>
      <c r="I9" s="42"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2" ht="44.25" x14ac:dyDescent="0.75">
      <c r="A10" s="18">
        <v>3</v>
      </c>
      <c r="B10" s="18" t="s">
        <v>297</v>
      </c>
      <c r="C10" s="23" t="s">
        <v>315</v>
      </c>
      <c r="D10" s="19" t="s">
        <v>316</v>
      </c>
      <c r="E10" s="11">
        <v>0</v>
      </c>
      <c r="F10" s="11" t="s">
        <v>11</v>
      </c>
      <c r="G10" s="11" t="s">
        <v>3</v>
      </c>
      <c r="H10" s="31"/>
      <c r="I10" s="42" t="str">
        <f t="shared" si="0"/>
        <v>* identification.givenName 0..* string ##34#A.1.1.2 Given name ##34# ##334#The given name/first name of the patient (also known as forename or first name). This field can contain more than one element. ##334#</v>
      </c>
    </row>
    <row r="11" spans="1:12" s="16" customFormat="1" ht="73.75" x14ac:dyDescent="0.75">
      <c r="A11" s="18">
        <v>4</v>
      </c>
      <c r="B11" s="18" t="s">
        <v>298</v>
      </c>
      <c r="C11" s="23" t="s">
        <v>317</v>
      </c>
      <c r="D11" s="19" t="s">
        <v>318</v>
      </c>
      <c r="E11" s="18">
        <v>0</v>
      </c>
      <c r="F11" s="18">
        <v>1</v>
      </c>
      <c r="G11" s="18" t="s">
        <v>2</v>
      </c>
      <c r="H11" s="31"/>
      <c r="I11" s="42" t="str">
        <f t="shared" si="0"/>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c r="L11" s="17"/>
    </row>
    <row r="12" spans="1:12" ht="59" x14ac:dyDescent="0.75">
      <c r="A12" s="18">
        <v>5</v>
      </c>
      <c r="B12" s="18" t="s">
        <v>299</v>
      </c>
      <c r="C12" s="18" t="s">
        <v>319</v>
      </c>
      <c r="D12" s="19" t="s">
        <v>320</v>
      </c>
      <c r="E12" s="11">
        <v>0</v>
      </c>
      <c r="F12" s="11">
        <v>1</v>
      </c>
      <c r="G12" s="11" t="s">
        <v>0</v>
      </c>
      <c r="H12" s="31"/>
      <c r="I12" s="42" t="str">
        <f t="shared" si="0"/>
        <v>* identification.identifier 0..1 Identifier ##34#A.1.1.4 Personal identifier ##34# ##334#An identifier of the patient that is unique within a defined scope. Example: National ID (birth number) for Czech patient. Multiple identifiers could be provided. ##334#</v>
      </c>
    </row>
    <row r="13" spans="1:12" ht="73.75" x14ac:dyDescent="0.75">
      <c r="A13" s="18">
        <v>6</v>
      </c>
      <c r="B13" s="18" t="s">
        <v>300</v>
      </c>
      <c r="C13" s="23" t="s">
        <v>290</v>
      </c>
      <c r="D13" s="19" t="s">
        <v>321</v>
      </c>
      <c r="E13" s="11">
        <v>0</v>
      </c>
      <c r="F13" s="11">
        <v>1</v>
      </c>
      <c r="G13" s="18" t="s">
        <v>1</v>
      </c>
      <c r="H13" s="31"/>
      <c r="I13" s="42"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2" ht="44.25" x14ac:dyDescent="0.75">
      <c r="A14" s="18">
        <v>7</v>
      </c>
      <c r="B14" s="18" t="s">
        <v>309</v>
      </c>
      <c r="C14" s="23" t="s">
        <v>322</v>
      </c>
      <c r="D14" s="62" t="s">
        <v>322</v>
      </c>
      <c r="E14" s="11">
        <v>0</v>
      </c>
      <c r="F14" s="11" t="s">
        <v>11</v>
      </c>
      <c r="G14" s="18" t="s">
        <v>4</v>
      </c>
      <c r="H14" s="31"/>
      <c r="I14" s="42" t="str">
        <f t="shared" si="0"/>
        <v>* address-telecom 0..* BackboneElement ##34#A.1.2 Patient/subject related contact information   ##34# ##334#A.1.2 Patient/subject related contact information   ##334#</v>
      </c>
    </row>
    <row r="15" spans="1:12" ht="103.25" x14ac:dyDescent="0.75">
      <c r="A15" s="18">
        <v>8</v>
      </c>
      <c r="B15" s="18" t="s">
        <v>310</v>
      </c>
      <c r="C15" s="18" t="s">
        <v>291</v>
      </c>
      <c r="D15" s="19" t="s">
        <v>323</v>
      </c>
      <c r="E15" s="18">
        <v>0</v>
      </c>
      <c r="F15" s="18" t="s">
        <v>11</v>
      </c>
      <c r="G15" s="18" t="s">
        <v>64</v>
      </c>
      <c r="H15" s="31"/>
      <c r="I15" s="42"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3"/>
      <c r="K15" s="18"/>
    </row>
    <row r="16" spans="1:12" ht="29.5" customHeight="1" x14ac:dyDescent="0.75">
      <c r="A16" s="18">
        <v>9</v>
      </c>
      <c r="B16" s="18" t="s">
        <v>311</v>
      </c>
      <c r="C16" s="18" t="s">
        <v>292</v>
      </c>
      <c r="D16" s="19" t="s">
        <v>293</v>
      </c>
      <c r="E16" s="18">
        <v>0</v>
      </c>
      <c r="F16" s="18" t="s">
        <v>11</v>
      </c>
      <c r="G16" s="63" t="s">
        <v>334</v>
      </c>
      <c r="H16" s="18"/>
      <c r="I16" s="42" t="str">
        <f t="shared" si="0"/>
        <v>* address-telecom.telecom 0..* ContactPoint ##34#A.1.2.2 Telecom##34# ##334#Telecommunication contact information (addresses) associated to a person. Multiple telecommunication addresses might be provided. - Preferred system(s): ##334#</v>
      </c>
    </row>
    <row r="17" spans="1:12" x14ac:dyDescent="0.75">
      <c r="A17" s="16"/>
      <c r="B17" s="16"/>
      <c r="C17" s="16"/>
      <c r="E17" s="16"/>
      <c r="F17" s="16"/>
      <c r="G17" s="16"/>
      <c r="I17" s="42" t="str">
        <f t="shared" si="0"/>
        <v>*  ..  ##34###34# ##334###334#</v>
      </c>
      <c r="J17" s="16"/>
    </row>
    <row r="18" spans="1:12" x14ac:dyDescent="0.75">
      <c r="A18" s="16"/>
      <c r="B18" s="16"/>
      <c r="C18" s="16"/>
      <c r="E18" s="16"/>
      <c r="F18" s="16"/>
      <c r="G18" s="16"/>
      <c r="I18" s="42" t="str">
        <f t="shared" si="0"/>
        <v>*  ..  ##34###34# ##334###334#</v>
      </c>
      <c r="J18" s="16"/>
    </row>
    <row r="19" spans="1:12" x14ac:dyDescent="0.75">
      <c r="A19" s="16"/>
      <c r="B19" s="16"/>
      <c r="C19" s="16"/>
      <c r="E19" s="16"/>
      <c r="F19" s="16"/>
      <c r="G19" s="16"/>
      <c r="I19" s="42" t="str">
        <f t="shared" si="0"/>
        <v>*  ..  ##34###34# ##334###334#</v>
      </c>
      <c r="J19" s="16"/>
    </row>
    <row r="20" spans="1:12" x14ac:dyDescent="0.75">
      <c r="A20" s="16"/>
      <c r="B20" s="16"/>
      <c r="C20" s="16"/>
      <c r="E20" s="16"/>
      <c r="F20" s="16"/>
      <c r="G20" s="16"/>
      <c r="I20" s="16"/>
      <c r="J20" s="16"/>
    </row>
    <row r="21" spans="1:12" x14ac:dyDescent="0.75">
      <c r="A21" s="16"/>
      <c r="B21" s="16" t="str">
        <f t="shared" ref="B21:B33" si="1">CONCATENATE(C21," ",D21)</f>
        <v xml:space="preserve"> </v>
      </c>
      <c r="C21" s="16"/>
      <c r="E21" s="16"/>
      <c r="F21" s="16"/>
      <c r="G21" s="16"/>
      <c r="I21" s="16"/>
      <c r="J21" s="16"/>
    </row>
    <row r="22" spans="1:12" ht="15.5" thickBot="1" x14ac:dyDescent="0.9">
      <c r="A22" s="16"/>
      <c r="B22" s="16" t="str">
        <f t="shared" si="1"/>
        <v xml:space="preserve"> </v>
      </c>
      <c r="C22" s="16"/>
      <c r="E22" s="16"/>
      <c r="F22" s="16"/>
      <c r="G22" s="16"/>
      <c r="I22" s="16"/>
      <c r="J22" s="16"/>
    </row>
    <row r="23" spans="1:12" s="16" customFormat="1" ht="16.75" thickBot="1" x14ac:dyDescent="0.9">
      <c r="C23" s="59" t="s">
        <v>314</v>
      </c>
      <c r="D23" s="59" t="s">
        <v>314</v>
      </c>
      <c r="E23" s="60"/>
      <c r="F23" s="61"/>
      <c r="L23" s="17"/>
    </row>
    <row r="24" spans="1:12" s="16" customFormat="1" ht="256.75" thickBot="1" x14ac:dyDescent="0.9">
      <c r="B24" s="16" t="str">
        <f t="shared" si="1"/>
        <v>A.1.1.1 Family name/surname</v>
      </c>
      <c r="C24" s="51" t="s">
        <v>44</v>
      </c>
      <c r="D24" s="46" t="s">
        <v>45</v>
      </c>
      <c r="E24" s="46" t="s">
        <v>324</v>
      </c>
      <c r="F24" s="47"/>
      <c r="I24" s="17" t="str">
        <f t="shared" ref="I24:I33" si="2">CONCATENATE(E24," - Preferred system(s): ",F24)</f>
        <v xml:space="preserve">The family name/surname/last name of the patient. This field can contain more than one element or multiple fields could be present.  - Preferred system(s): </v>
      </c>
      <c r="L24" s="17"/>
    </row>
    <row r="25" spans="1:12" s="16" customFormat="1" ht="256.75" thickBot="1" x14ac:dyDescent="0.9">
      <c r="B25" s="16" t="str">
        <f t="shared" si="1"/>
        <v xml:space="preserve">A.1.1.2 Given name </v>
      </c>
      <c r="C25" s="51" t="s">
        <v>47</v>
      </c>
      <c r="D25" s="46" t="s">
        <v>325</v>
      </c>
      <c r="E25" s="46" t="s">
        <v>326</v>
      </c>
      <c r="F25" s="47"/>
      <c r="I25" s="17" t="str">
        <f t="shared" si="2"/>
        <v xml:space="preserve">The given name/first name of the patient (also known as forename or first name). This field can contain more than one element.   - Preferred system(s): </v>
      </c>
      <c r="L25" s="17"/>
    </row>
    <row r="26" spans="1:12" s="16" customFormat="1" ht="304.75" thickBot="1" x14ac:dyDescent="0.9">
      <c r="B26" s="16" t="str">
        <f t="shared" si="1"/>
        <v xml:space="preserve">A.1.1.3 Date of birth </v>
      </c>
      <c r="C26" s="51" t="s">
        <v>50</v>
      </c>
      <c r="D26" s="46" t="s">
        <v>327</v>
      </c>
      <c r="E26" s="46" t="s">
        <v>52</v>
      </c>
      <c r="F26" s="48" t="s">
        <v>328</v>
      </c>
      <c r="I26" s="17"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c r="L26" s="17"/>
    </row>
    <row r="27" spans="1:12" s="16" customFormat="1" ht="304.75" thickBot="1" x14ac:dyDescent="0.9">
      <c r="B27" s="16" t="str">
        <f t="shared" si="1"/>
        <v xml:space="preserve">A.1.1.4 Personal identifier </v>
      </c>
      <c r="C27" s="51" t="s">
        <v>54</v>
      </c>
      <c r="D27" s="46" t="s">
        <v>329</v>
      </c>
      <c r="E27" s="46" t="s">
        <v>330</v>
      </c>
      <c r="F27" s="47"/>
      <c r="I27" s="17" t="str">
        <f t="shared" si="2"/>
        <v xml:space="preserve">An identifier of the patient that is unique within a defined scope. Example: National ID (birth number) for Czech patient. Multiple identifiers could be provided.   - Preferred system(s): </v>
      </c>
      <c r="L27" s="17"/>
    </row>
    <row r="28" spans="1:12" s="16" customFormat="1" ht="144" x14ac:dyDescent="0.75">
      <c r="B28" s="16" t="str">
        <f t="shared" si="1"/>
        <v>A.1.1.5 Gender</v>
      </c>
      <c r="C28" s="89" t="s">
        <v>57</v>
      </c>
      <c r="D28" s="89" t="s">
        <v>58</v>
      </c>
      <c r="E28" s="49" t="s">
        <v>59</v>
      </c>
      <c r="F28" s="92" t="s">
        <v>331</v>
      </c>
      <c r="I28" s="17" t="str">
        <f t="shared" si="2"/>
        <v xml:space="preserve">This field must contain a recognised valid value for "administrative gender". - Preferred system(s): HL7 Administrative Gender </v>
      </c>
      <c r="L28" s="17"/>
    </row>
    <row r="29" spans="1:12" s="16" customFormat="1" ht="14.75" customHeight="1" x14ac:dyDescent="0.75">
      <c r="B29" s="16" t="str">
        <f t="shared" si="1"/>
        <v xml:space="preserve"> </v>
      </c>
      <c r="C29" s="90"/>
      <c r="D29" s="90"/>
      <c r="E29" s="50"/>
      <c r="F29" s="93"/>
      <c r="I29" s="17" t="str">
        <f t="shared" si="2"/>
        <v xml:space="preserve"> - Preferred system(s): </v>
      </c>
      <c r="L29" s="17"/>
    </row>
    <row r="30" spans="1:12" s="16" customFormat="1" ht="30.25" customHeight="1" thickBot="1" x14ac:dyDescent="0.9">
      <c r="B30" s="16" t="str">
        <f t="shared" si="1"/>
        <v xml:space="preserve"> </v>
      </c>
      <c r="C30" s="91"/>
      <c r="D30" s="91"/>
      <c r="E30" s="46" t="s">
        <v>61</v>
      </c>
      <c r="F30" s="94"/>
      <c r="I30" s="17" t="str">
        <f t="shared" si="2"/>
        <v xml:space="preserve">If different, "physiological gender" should be communicated elsewhere. - Preferred system(s): </v>
      </c>
      <c r="L30" s="17"/>
    </row>
    <row r="31" spans="1:12" s="16" customFormat="1" ht="16.75" thickBot="1" x14ac:dyDescent="0.9">
      <c r="B31" s="16" t="str">
        <f t="shared" si="1"/>
        <v xml:space="preserve">A.1.2 Patient/subject related contact information   </v>
      </c>
      <c r="C31" s="95" t="s">
        <v>332</v>
      </c>
      <c r="D31" s="96"/>
      <c r="E31" s="96"/>
      <c r="F31" s="97"/>
      <c r="I31" s="17" t="str">
        <f t="shared" si="2"/>
        <v xml:space="preserve"> - Preferred system(s): </v>
      </c>
      <c r="L31" s="17"/>
    </row>
    <row r="32" spans="1:12" s="16" customFormat="1" ht="409.6" thickBot="1" x14ac:dyDescent="0.9">
      <c r="B32" s="16" t="str">
        <f t="shared" si="1"/>
        <v>A.1.2.1 Address</v>
      </c>
      <c r="C32" s="51" t="s">
        <v>63</v>
      </c>
      <c r="D32" s="46" t="s">
        <v>64</v>
      </c>
      <c r="E32" s="46" t="s">
        <v>65</v>
      </c>
      <c r="F32" s="48" t="s">
        <v>333</v>
      </c>
      <c r="I32" s="17"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c r="L32" s="17"/>
    </row>
    <row r="33" spans="2:12" s="16" customFormat="1" ht="256.75" thickBot="1" x14ac:dyDescent="0.9">
      <c r="B33" s="16" t="str">
        <f t="shared" si="1"/>
        <v>A.1.2.2 Telecom</v>
      </c>
      <c r="C33" s="51" t="s">
        <v>67</v>
      </c>
      <c r="D33" s="46" t="s">
        <v>68</v>
      </c>
      <c r="E33" s="46" t="s">
        <v>69</v>
      </c>
      <c r="F33" s="52"/>
      <c r="I33" s="17" t="str">
        <f t="shared" si="2"/>
        <v xml:space="preserve">Telecommunication contact information (addresses) associated to a person. Multiple telecommunication addresses might be provided. - Preferred system(s): </v>
      </c>
      <c r="L33" s="17"/>
    </row>
  </sheetData>
  <mergeCells count="4">
    <mergeCell ref="C28:C30"/>
    <mergeCell ref="D28:D30"/>
    <mergeCell ref="F28:F30"/>
    <mergeCell ref="C31:F3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1" max="1" width="8.7265625" style="10"/>
    <col min="2" max="2" width="31.6796875" style="10" bestFit="1" customWidth="1"/>
    <col min="3" max="3" width="72.1328125" style="10" customWidth="1"/>
    <col min="4" max="4" width="8.04296875" style="10" customWidth="1"/>
    <col min="5" max="5" width="71.58984375" style="17" customWidth="1"/>
    <col min="6" max="6" width="10.76953125" style="10" customWidth="1"/>
    <col min="7" max="7" width="45.26953125" style="10" customWidth="1"/>
    <col min="8" max="16384" width="8.7265625" style="10"/>
  </cols>
  <sheetData>
    <row r="1" spans="1:15" s="16" customFormat="1" x14ac:dyDescent="0.75">
      <c r="B1" s="21"/>
      <c r="C1" s="21"/>
      <c r="E1" s="32" t="s">
        <v>37</v>
      </c>
      <c r="H1" s="12"/>
      <c r="I1" s="12"/>
      <c r="J1" s="12"/>
      <c r="K1" s="12"/>
      <c r="L1" s="12"/>
      <c r="M1" s="12"/>
      <c r="N1" s="12"/>
      <c r="O1" s="12"/>
    </row>
    <row r="2" spans="1:15" s="16" customFormat="1" x14ac:dyDescent="0.75">
      <c r="B2" s="21"/>
      <c r="C2" s="21"/>
      <c r="E2" s="39" t="s">
        <v>38</v>
      </c>
      <c r="H2" s="12"/>
      <c r="I2" s="12"/>
      <c r="J2" s="12"/>
      <c r="K2" s="12"/>
      <c r="L2" s="12"/>
      <c r="M2" s="12"/>
      <c r="N2" s="12"/>
      <c r="O2" s="12"/>
    </row>
    <row r="3" spans="1:15" s="16" customFormat="1" ht="15.5" thickBot="1" x14ac:dyDescent="0.9">
      <c r="B3" s="21"/>
      <c r="C3" s="21"/>
      <c r="E3" s="39" t="str">
        <f>E1</f>
        <v>// -------------------------------------------------------------------------------</v>
      </c>
      <c r="H3" s="12"/>
      <c r="I3" s="12"/>
      <c r="J3" s="12"/>
      <c r="K3" s="12"/>
      <c r="L3" s="12"/>
      <c r="M3" s="12"/>
      <c r="N3" s="12"/>
      <c r="O3" s="12"/>
    </row>
    <row r="4" spans="1:15" ht="15.5" thickBot="1" x14ac:dyDescent="0.9">
      <c r="B4" s="15" t="s">
        <v>34</v>
      </c>
      <c r="C4" s="8" t="s">
        <v>336</v>
      </c>
      <c r="E4" s="36" t="str">
        <f>CONCATENATE("Mapping: ",C4)</f>
        <v>Mapping: eHNLabSubject2Fhir</v>
      </c>
      <c r="G4" s="10" t="s">
        <v>20</v>
      </c>
      <c r="H4" s="12"/>
      <c r="I4" s="12"/>
      <c r="J4" s="12"/>
      <c r="K4" s="12"/>
      <c r="L4" s="12"/>
      <c r="M4" s="12"/>
      <c r="N4" s="12"/>
      <c r="O4" s="12"/>
    </row>
    <row r="5" spans="1:15" ht="15.5" thickBot="1" x14ac:dyDescent="0.9">
      <c r="B5" s="15" t="s">
        <v>19</v>
      </c>
      <c r="C5" s="6" t="s">
        <v>16</v>
      </c>
      <c r="E5" s="37" t="str">
        <f>CONCATENATE("Id: ",C5)</f>
        <v>Id: fhir</v>
      </c>
      <c r="G5" s="1" t="s">
        <v>21</v>
      </c>
      <c r="H5" s="12"/>
      <c r="I5" s="12"/>
      <c r="J5" s="12"/>
      <c r="K5" s="12"/>
      <c r="L5" s="12"/>
      <c r="M5" s="12"/>
      <c r="N5" s="12"/>
      <c r="O5" s="12"/>
    </row>
    <row r="6" spans="1:15" ht="15.5" thickBot="1" x14ac:dyDescent="0.9">
      <c r="B6" s="15" t="s">
        <v>13</v>
      </c>
      <c r="C6" s="65" t="s">
        <v>366</v>
      </c>
      <c r="E6" s="37" t="str">
        <f>CONCATENATE("Title: ##34#",C6,"##34#")</f>
        <v>Title: ##34#eHN Lab Subject model to FHIR R4 Map##34#</v>
      </c>
      <c r="G6" s="1" t="s">
        <v>22</v>
      </c>
      <c r="H6" s="12"/>
      <c r="I6" s="12"/>
      <c r="J6" s="12"/>
      <c r="K6" s="12"/>
      <c r="L6" s="12"/>
      <c r="M6" s="12"/>
      <c r="N6" s="12"/>
      <c r="O6" s="12"/>
    </row>
    <row r="7" spans="1:15" ht="15.5" thickBot="1" x14ac:dyDescent="0.9">
      <c r="B7" s="15" t="s">
        <v>35</v>
      </c>
      <c r="C7" s="13" t="str">
        <f>B9</f>
        <v>Subject</v>
      </c>
      <c r="E7" s="37" t="str">
        <f>CONCATENATE("Source: ",C7)</f>
        <v>Source: Subject</v>
      </c>
      <c r="G7" s="1" t="s">
        <v>23</v>
      </c>
      <c r="H7" s="12"/>
      <c r="I7" s="12"/>
      <c r="J7" s="12"/>
      <c r="K7" s="12"/>
      <c r="L7" s="12"/>
      <c r="M7" s="12"/>
      <c r="N7" s="12"/>
      <c r="O7" s="12"/>
    </row>
    <row r="8" spans="1:15" ht="15.5" thickBot="1" x14ac:dyDescent="0.9">
      <c r="B8" s="35" t="s">
        <v>18</v>
      </c>
      <c r="C8" s="10" t="s">
        <v>15</v>
      </c>
      <c r="E8" s="38" t="str">
        <f>CONCATENATE("Target: ##34#",C8,"##34#")</f>
        <v>Target: ##34#hl7.org/fhir/r4##34#</v>
      </c>
      <c r="G8" s="1" t="s">
        <v>24</v>
      </c>
      <c r="H8" s="12"/>
      <c r="I8" s="12"/>
      <c r="J8" s="12"/>
      <c r="K8" s="12"/>
      <c r="L8" s="12"/>
      <c r="M8" s="12"/>
      <c r="N8" s="12"/>
      <c r="O8" s="12"/>
    </row>
    <row r="9" spans="1:15" x14ac:dyDescent="0.75">
      <c r="A9" s="11"/>
      <c r="B9" s="11" t="str">
        <f>Subj!B5</f>
        <v>Subject</v>
      </c>
      <c r="C9" s="9" t="s">
        <v>301</v>
      </c>
      <c r="E9" s="5" t="str">
        <f>CONCATENATE("* -&gt; ##34#",C9,"##34#")</f>
        <v>* -&gt; ##34#Patient.conformsTo('http://hl7.eu/fhir/ig/xeh/StructureDefinition/Patient-eu-xeh')##34#</v>
      </c>
      <c r="F9" s="16"/>
      <c r="H9" s="12"/>
      <c r="I9" s="12"/>
      <c r="J9" s="12"/>
      <c r="K9" s="12"/>
      <c r="L9" s="12"/>
      <c r="M9" s="12"/>
      <c r="N9" s="12"/>
      <c r="O9" s="12"/>
    </row>
    <row r="10" spans="1:15" x14ac:dyDescent="0.75">
      <c r="A10" s="11"/>
      <c r="B10" s="18" t="str">
        <f>Subj!B8</f>
        <v>identification</v>
      </c>
      <c r="C10" s="18" t="s">
        <v>17</v>
      </c>
      <c r="E10" s="19" t="str">
        <f>CONCATENATE("* ",B10," -&gt; ##34#",C10,"##34#")</f>
        <v>* identification -&gt; ##34#Patient##34#</v>
      </c>
      <c r="F10" s="16"/>
      <c r="G10" s="1" t="s">
        <v>25</v>
      </c>
      <c r="H10" s="12"/>
      <c r="I10" s="12"/>
      <c r="J10" s="12"/>
      <c r="K10" s="12"/>
      <c r="L10" s="12"/>
      <c r="M10" s="12"/>
      <c r="N10" s="12"/>
      <c r="O10" s="12"/>
    </row>
    <row r="11" spans="1:15" x14ac:dyDescent="0.75">
      <c r="A11" s="11"/>
      <c r="B11" s="18" t="str">
        <f>Subj!B9</f>
        <v>identification.familyName</v>
      </c>
      <c r="C11" s="18" t="s">
        <v>302</v>
      </c>
      <c r="E11" s="19" t="str">
        <f t="shared" ref="E11:E20" si="0">CONCATENATE("* ",B11," -&gt; ##34#",C11,"##34#")</f>
        <v>* identification.familyName -&gt; ##34#Patient.name.family##34#</v>
      </c>
      <c r="F11" s="16"/>
      <c r="G11" s="17" t="s">
        <v>26</v>
      </c>
      <c r="H11" s="12"/>
      <c r="I11" s="12"/>
      <c r="J11" s="12"/>
      <c r="K11" s="12"/>
      <c r="L11" s="12"/>
      <c r="M11" s="12"/>
      <c r="N11" s="12"/>
      <c r="O11" s="12"/>
    </row>
    <row r="12" spans="1:15" ht="44.25" x14ac:dyDescent="0.75">
      <c r="A12" s="11"/>
      <c r="B12" s="18" t="str">
        <f>Subj!B10</f>
        <v>identification.givenName</v>
      </c>
      <c r="C12" s="18" t="s">
        <v>303</v>
      </c>
      <c r="E12" s="19" t="str">
        <f t="shared" si="0"/>
        <v>* identification.givenName -&gt; ##34#Patient.name.given##34#</v>
      </c>
      <c r="F12" s="16"/>
      <c r="G12" s="17" t="s">
        <v>27</v>
      </c>
      <c r="H12" s="12"/>
      <c r="I12" s="12"/>
      <c r="J12" s="12"/>
      <c r="K12" s="12"/>
      <c r="L12" s="12"/>
      <c r="M12" s="12"/>
      <c r="N12" s="12"/>
      <c r="O12" s="12"/>
    </row>
    <row r="13" spans="1:15" x14ac:dyDescent="0.75">
      <c r="A13" s="11"/>
      <c r="B13" s="18" t="str">
        <f>Subj!B11</f>
        <v>identification.dateOfBirth</v>
      </c>
      <c r="C13" s="18" t="s">
        <v>304</v>
      </c>
      <c r="E13" s="19" t="str">
        <f t="shared" si="0"/>
        <v>* identification.dateOfBirth -&gt; ##34#Patient.birthDate##34#</v>
      </c>
      <c r="F13" s="16"/>
      <c r="G13" s="17" t="s">
        <v>28</v>
      </c>
      <c r="H13" s="12"/>
      <c r="I13" s="12"/>
      <c r="J13" s="12"/>
      <c r="K13" s="12"/>
      <c r="L13" s="12"/>
      <c r="M13" s="12"/>
      <c r="N13" s="12"/>
      <c r="O13" s="12"/>
    </row>
    <row r="14" spans="1:15" x14ac:dyDescent="0.75">
      <c r="A14" s="11"/>
      <c r="B14" s="18" t="str">
        <f>Subj!B12</f>
        <v>identification.identifier</v>
      </c>
      <c r="C14" s="11" t="s">
        <v>305</v>
      </c>
      <c r="E14" s="19" t="str">
        <f t="shared" si="0"/>
        <v>* identification.identifier -&gt; ##34#Patient.identifier##34#</v>
      </c>
      <c r="F14" s="16"/>
      <c r="G14" s="17" t="s">
        <v>29</v>
      </c>
      <c r="H14" s="12"/>
      <c r="I14" s="12"/>
      <c r="J14" s="12"/>
      <c r="K14" s="12"/>
      <c r="L14" s="12"/>
      <c r="M14" s="12"/>
      <c r="N14" s="12"/>
      <c r="O14" s="12"/>
    </row>
    <row r="15" spans="1:15" ht="29.5" x14ac:dyDescent="0.75">
      <c r="A15" s="18"/>
      <c r="B15" s="18" t="str">
        <f>Subj!B13</f>
        <v>identification.gender</v>
      </c>
      <c r="C15" s="18" t="s">
        <v>306</v>
      </c>
      <c r="E15" s="19" t="str">
        <f t="shared" si="0"/>
        <v>* identification.gender -&gt; ##34#Patient.gender##34#</v>
      </c>
      <c r="F15" s="16"/>
      <c r="G15" s="17" t="s">
        <v>30</v>
      </c>
      <c r="H15" s="12"/>
      <c r="I15" s="12"/>
      <c r="J15" s="12"/>
      <c r="K15" s="12"/>
      <c r="L15" s="12"/>
      <c r="M15" s="12"/>
      <c r="N15" s="12"/>
      <c r="O15" s="12"/>
    </row>
    <row r="16" spans="1:15" ht="29.5" x14ac:dyDescent="0.75">
      <c r="A16" s="18"/>
      <c r="B16" s="18" t="str">
        <f>Subj!B14</f>
        <v>address-telecom</v>
      </c>
      <c r="C16" s="18" t="s">
        <v>308</v>
      </c>
      <c r="E16" s="19" t="str">
        <f t="shared" si="0"/>
        <v>* address-telecom -&gt; ##34#Patient.address##34#</v>
      </c>
      <c r="F16" s="16"/>
      <c r="G16" s="17" t="s">
        <v>31</v>
      </c>
      <c r="H16" s="12"/>
      <c r="I16" s="12"/>
      <c r="J16" s="12"/>
      <c r="K16" s="12"/>
      <c r="L16" s="12"/>
      <c r="M16" s="12"/>
      <c r="N16" s="12"/>
      <c r="O16" s="12"/>
    </row>
    <row r="17" spans="1:7" ht="29.5" x14ac:dyDescent="0.75">
      <c r="A17" s="18"/>
      <c r="B17" s="18" t="str">
        <f>Subj!B15</f>
        <v>address-telecom.address</v>
      </c>
      <c r="C17" s="18" t="s">
        <v>306</v>
      </c>
      <c r="E17" s="19" t="str">
        <f t="shared" si="0"/>
        <v>* address-telecom.address -&gt; ##34#Patient.gender##34#</v>
      </c>
      <c r="F17" s="16"/>
      <c r="G17" s="17" t="s">
        <v>32</v>
      </c>
    </row>
    <row r="18" spans="1:7" x14ac:dyDescent="0.75">
      <c r="A18" s="18"/>
      <c r="B18" s="18" t="str">
        <f>Subj!B16</f>
        <v>address-telecom.telecom</v>
      </c>
      <c r="C18" s="18" t="s">
        <v>307</v>
      </c>
      <c r="E18" s="19" t="str">
        <f t="shared" si="0"/>
        <v>* address-telecom.telecom -&gt; ##34#Patient.telecom##34#</v>
      </c>
      <c r="F18" s="16"/>
      <c r="G18" s="17" t="s">
        <v>33</v>
      </c>
    </row>
    <row r="19" spans="1:7" x14ac:dyDescent="0.75">
      <c r="A19" s="18"/>
      <c r="B19" s="18"/>
      <c r="C19" s="18"/>
      <c r="E19" s="19" t="str">
        <f t="shared" si="0"/>
        <v>*  -&gt; ##34###34#</v>
      </c>
      <c r="F19" s="16"/>
    </row>
    <row r="20" spans="1:7" x14ac:dyDescent="0.75">
      <c r="A20" s="18"/>
      <c r="B20" s="18"/>
      <c r="C20" s="19"/>
      <c r="E20" s="19" t="str">
        <f t="shared" si="0"/>
        <v>*  -&gt; ##34###34#</v>
      </c>
      <c r="F20" s="16"/>
    </row>
    <row r="21" spans="1:7" x14ac:dyDescent="0.75">
      <c r="B21" s="18"/>
    </row>
    <row r="22" spans="1:7" x14ac:dyDescent="0.75">
      <c r="B22" s="18"/>
    </row>
    <row r="24" spans="1:7" x14ac:dyDescent="0.75">
      <c r="E24"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9" customWidth="1"/>
    <col min="7" max="7" width="23.90625" customWidth="1"/>
  </cols>
  <sheetData>
    <row r="1" spans="3:7" ht="15.5" thickBot="1" x14ac:dyDescent="0.9">
      <c r="C1" s="40" t="str">
        <f>Subj!I1</f>
        <v>// -------------------------------------------------------------------------------</v>
      </c>
    </row>
    <row r="2" spans="3:7" ht="16.75" thickBot="1" x14ac:dyDescent="0.9">
      <c r="C2" s="41" t="str">
        <f>Subj!I2</f>
        <v>//  Logical Model</v>
      </c>
      <c r="G2" s="68" t="s">
        <v>371</v>
      </c>
    </row>
    <row r="3" spans="3:7" x14ac:dyDescent="0.75">
      <c r="C3" s="41" t="str">
        <f>Subj!I3</f>
        <v>// -------------------------------------------------------------------------------</v>
      </c>
    </row>
    <row r="4" spans="3:7" x14ac:dyDescent="0.75">
      <c r="C4" s="33" t="str">
        <f>Subj!I4</f>
        <v>Logical: SubjectLabEhn</v>
      </c>
    </row>
    <row r="5" spans="3:7" x14ac:dyDescent="0.75">
      <c r="C5" s="33" t="str">
        <f>Subj!I5</f>
        <v>Id: Subject</v>
      </c>
    </row>
    <row r="6" spans="3:7" x14ac:dyDescent="0.75">
      <c r="C6" s="33" t="str">
        <f>Subj!I6</f>
        <v>Title: ##34#Subject of care (A1.1 - A1.2)##34#</v>
      </c>
    </row>
    <row r="7" spans="3:7" ht="29.5" x14ac:dyDescent="0.75">
      <c r="C7" s="33" t="str">
        <f>Subj!I7</f>
        <v>Description:  ##334#Patient or Subject of care##334#</v>
      </c>
    </row>
    <row r="8" spans="3:7" ht="29.5" x14ac:dyDescent="0.75">
      <c r="C8" s="19" t="str">
        <f>IF(Subj!I8="*  ..  ##34###34# ##334###334#","//--- END",Subj!I8)</f>
        <v>* identification 1..1 BackboneElement ##34#A.1.1 Identification of the patient/subject##34# ##334#A.1.1 Identification of the patient/subject##334#</v>
      </c>
    </row>
    <row r="9" spans="3:7" ht="29.5" x14ac:dyDescent="0.75">
      <c r="C9" s="19"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9" t="str">
        <f>IF(Subj!I10="*  ..  ##34###34# ##334###334#","//--- END",Subj!I10)</f>
        <v>* identification.givenName 0..* string ##34#A.1.1.2 Given name ##34# ##334#The given name/first name of the patient (also known as forename or first name). This field can contain more than one element. ##334#</v>
      </c>
      <c r="E10" t="s">
        <v>312</v>
      </c>
    </row>
    <row r="11" spans="3:7" ht="29.5" x14ac:dyDescent="0.75">
      <c r="C11" s="19" t="str">
        <f>IF(Subj!I11="*  ..  ##34###34# ##334###334#","//--- END",Subj!I11)</f>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9" t="str">
        <f>IF(Subj!I12="*  ..  ##34###34# ##334###334#","//--- END",Subj!I12)</f>
        <v>* identification.identifier 0..1 Identifier ##34#A.1.1.4 Personal identifier ##34# ##334#An identifier of the patient that is unique within a defined scope. Example: National ID (birth number) for Czech patient. Multiple identifiers could be provided. ##334#</v>
      </c>
    </row>
    <row r="13" spans="3:7" ht="59" x14ac:dyDescent="0.75">
      <c r="C13" s="19"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9" t="str">
        <f>IF(Subj!I14="*  ..  ##34###34# ##334###334#","//--- END",Subj!I14)</f>
        <v>* address-telecom 0..* BackboneElement ##34#A.1.2 Patient/subject related contact information   ##34# ##334#A.1.2 Patient/subject related contact information   ##334#</v>
      </c>
    </row>
    <row r="15" spans="3:7" ht="59" x14ac:dyDescent="0.75">
      <c r="C15" s="19"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9"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9" t="str">
        <f>IF(Subj!I17="*  ..  ##34###34# ##334###334#","//--- END",Subj!I17)</f>
        <v>//--- END</v>
      </c>
    </row>
    <row r="18" spans="3:3" x14ac:dyDescent="0.75">
      <c r="C18" s="19" t="str">
        <f>IF(Subj!I18="*  ..  ##34###34# ##334###334#","//--- END",Subj!I18)</f>
        <v>//--- END</v>
      </c>
    </row>
    <row r="19" spans="3:3" x14ac:dyDescent="0.75">
      <c r="C19" s="19" t="str">
        <f>IF(Subj!I19="*  ..  ##34###34# ##334###334#","//--- END",Subj!I19)</f>
        <v>//--- END</v>
      </c>
    </row>
    <row r="30" spans="3:3" x14ac:dyDescent="0.75">
      <c r="C30" s="40" t="str">
        <f>'Subj-Map-1'!E1</f>
        <v>// -------------------------------------------------------------------------------</v>
      </c>
    </row>
    <row r="31" spans="3:3" x14ac:dyDescent="0.75">
      <c r="C31" s="41" t="str">
        <f>'Subj-Map-1'!E2</f>
        <v>//  Map to FHIR R4</v>
      </c>
    </row>
    <row r="32" spans="3:3" x14ac:dyDescent="0.75">
      <c r="C32" s="41" t="str">
        <f>'Subj-Map-1'!E3</f>
        <v>// -------------------------------------------------------------------------------</v>
      </c>
    </row>
    <row r="33" spans="3:7" x14ac:dyDescent="0.75">
      <c r="C33" s="19" t="str">
        <f>'Subj-Map-1'!E4</f>
        <v>Mapping: eHNLabSubject2Fhir</v>
      </c>
    </row>
    <row r="34" spans="3:7" x14ac:dyDescent="0.75">
      <c r="C34" s="19" t="str">
        <f>'Subj-Map-1'!E5</f>
        <v>Id: fhir</v>
      </c>
    </row>
    <row r="35" spans="3:7" x14ac:dyDescent="0.75">
      <c r="C35" s="19" t="str">
        <f>'Subj-Map-1'!E6</f>
        <v>Title: ##34#eHN Lab Subject model to FHIR R4 Map##34#</v>
      </c>
    </row>
    <row r="36" spans="3:7" x14ac:dyDescent="0.75">
      <c r="C36" s="19" t="str">
        <f>'Subj-Map-1'!E7</f>
        <v>Source: Subject</v>
      </c>
    </row>
    <row r="37" spans="3:7" x14ac:dyDescent="0.75">
      <c r="C37" s="19" t="str">
        <f>'Subj-Map-1'!E8</f>
        <v>Target: ##34#hl7.org/fhir/r4##34#</v>
      </c>
    </row>
    <row r="39" spans="3:7" x14ac:dyDescent="0.75">
      <c r="C39" s="19" t="str">
        <f>'Subj-Map-1'!E9</f>
        <v>* -&gt; ##34#Patient.conformsTo('http://hl7.eu/fhir/ig/xeh/StructureDefinition/Patient-eu-xeh')##34#</v>
      </c>
    </row>
    <row r="40" spans="3:7" x14ac:dyDescent="0.75">
      <c r="C40" s="19" t="str">
        <f>IF('Subj-Map-1'!E10="*  -&gt; ##34###34#","// --END",'Subj-Map-1'!E10)</f>
        <v>* identification -&gt; ##34#Patient##34#</v>
      </c>
    </row>
    <row r="41" spans="3:7" x14ac:dyDescent="0.75">
      <c r="C41" s="19" t="str">
        <f>IF('Subj-Map-1'!E11="*  -&gt; ##34###34#","// --END",'Subj-Map-1'!E11)</f>
        <v>* identification.familyName -&gt; ##34#Patient.name.family##34#</v>
      </c>
    </row>
    <row r="42" spans="3:7" x14ac:dyDescent="0.75">
      <c r="C42" s="19" t="str">
        <f>IF('Subj-Map-1'!E12="*  -&gt; ##34###34#","// --END",'Subj-Map-1'!E12)</f>
        <v>* identification.givenName -&gt; ##34#Patient.name.given##34#</v>
      </c>
    </row>
    <row r="43" spans="3:7" x14ac:dyDescent="0.75">
      <c r="C43" s="19" t="str">
        <f>IF('Subj-Map-1'!E13="*  -&gt; ##34###34#","// --END",'Subj-Map-1'!E13)</f>
        <v>* identification.dateOfBirth -&gt; ##34#Patient.birthDate##34#</v>
      </c>
    </row>
    <row r="44" spans="3:7" x14ac:dyDescent="0.75">
      <c r="C44" s="19" t="str">
        <f>IF('Subj-Map-1'!E14="*  -&gt; ##34###34#","// --END",'Subj-Map-1'!E14)</f>
        <v>* identification.identifier -&gt; ##34#Patient.identifier##34#</v>
      </c>
    </row>
    <row r="45" spans="3:7" x14ac:dyDescent="0.75">
      <c r="C45" s="19" t="str">
        <f>IF('Subj-Map-1'!E15="*  -&gt; ##34###34#","// --END",'Subj-Map-1'!E15)</f>
        <v>* identification.gender -&gt; ##34#Patient.gender##34#</v>
      </c>
    </row>
    <row r="46" spans="3:7" x14ac:dyDescent="0.75">
      <c r="C46" s="19" t="str">
        <f>IF('Subj-Map-1'!E16="*  -&gt; ##34###34#","// --END",'Subj-Map-1'!E16)</f>
        <v>* address-telecom -&gt; ##34#Patient.address##34#</v>
      </c>
    </row>
    <row r="47" spans="3:7" x14ac:dyDescent="0.75">
      <c r="C47" s="19" t="str">
        <f>IF('Subj-Map-1'!E17="*  -&gt; ##34###34#","// --END",'Subj-Map-1'!E17)</f>
        <v>* address-telecom.address -&gt; ##34#Patient.gender##34#</v>
      </c>
    </row>
    <row r="48" spans="3:7" x14ac:dyDescent="0.75">
      <c r="C48" s="19" t="str">
        <f>IF('Subj-Map-1'!E18="*  -&gt; ##34###34#","// --END",'Subj-Map-1'!E18)</f>
        <v>* address-telecom.telecom -&gt; ##34#Patient.telecom##34#</v>
      </c>
      <c r="G48" s="12"/>
    </row>
    <row r="49" spans="3:3" x14ac:dyDescent="0.75">
      <c r="C49" s="19" t="str">
        <f>IF('Subj-Map-1'!E19="*  -&gt; ##34###34#","// --END",'Subj-Map-1'!E19)</f>
        <v>// --END</v>
      </c>
    </row>
    <row r="50" spans="3:3" x14ac:dyDescent="0.75">
      <c r="C50" s="19"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6" sqref="B6"/>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369</v>
      </c>
      <c r="C4" s="21"/>
      <c r="D4" s="3"/>
      <c r="I4" s="33" t="str">
        <f>CONCATENATE("Logical: ",B4)</f>
        <v>Logical: PayerLabEhn</v>
      </c>
    </row>
    <row r="5" spans="1:11" x14ac:dyDescent="0.75">
      <c r="A5" s="25" t="s">
        <v>19</v>
      </c>
      <c r="B5" s="43" t="s">
        <v>368</v>
      </c>
      <c r="C5" s="21"/>
      <c r="D5" s="3"/>
      <c r="I5" s="33" t="str">
        <f>CONCATENATE("Id: ",B5)</f>
        <v>Id: Payer</v>
      </c>
    </row>
    <row r="6" spans="1:11" x14ac:dyDescent="0.75">
      <c r="A6" s="27" t="s">
        <v>13</v>
      </c>
      <c r="B6" s="26" t="s">
        <v>408</v>
      </c>
      <c r="C6" s="21"/>
      <c r="D6" s="3"/>
      <c r="I6" s="34" t="str">
        <f>CONCATENATE("Title: ##34#",B6,"##34#")</f>
        <v>Title: ##34#Health insurance and payment information (A.1.3 )##34#</v>
      </c>
    </row>
    <row r="7" spans="1:11" ht="15.5" customHeight="1" thickBot="1" x14ac:dyDescent="0.9">
      <c r="A7" s="28" t="s">
        <v>5</v>
      </c>
      <c r="B7" s="29" t="s">
        <v>340</v>
      </c>
      <c r="C7" s="14" t="s">
        <v>6</v>
      </c>
      <c r="D7" s="2" t="s">
        <v>7</v>
      </c>
      <c r="E7" s="4" t="s">
        <v>8</v>
      </c>
      <c r="F7" s="4" t="s">
        <v>9</v>
      </c>
      <c r="G7" s="4" t="s">
        <v>10</v>
      </c>
      <c r="I7" s="34" t="str">
        <f>CONCATENATE("Description: "," ##334#",B7,"##334#",)</f>
        <v>Description:  ##334#A.1.3 Health insurance and payment information##334#</v>
      </c>
    </row>
    <row r="8" spans="1:11" ht="73.75" x14ac:dyDescent="0.75">
      <c r="A8" s="18">
        <v>1</v>
      </c>
      <c r="B8" s="18" t="s">
        <v>356</v>
      </c>
      <c r="C8" s="16" t="s">
        <v>352</v>
      </c>
      <c r="D8" s="19" t="s">
        <v>409</v>
      </c>
      <c r="E8" s="18">
        <v>0</v>
      </c>
      <c r="F8" s="18">
        <v>1</v>
      </c>
      <c r="G8" s="18" t="s">
        <v>4</v>
      </c>
      <c r="H8" s="31"/>
      <c r="I8" s="42"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18">
        <v>2</v>
      </c>
      <c r="B9" s="18" t="s">
        <v>360</v>
      </c>
      <c r="C9" s="16" t="s">
        <v>353</v>
      </c>
      <c r="D9" s="19" t="s">
        <v>357</v>
      </c>
      <c r="E9" s="18">
        <v>0</v>
      </c>
      <c r="F9" s="18" t="s">
        <v>11</v>
      </c>
      <c r="G9" s="18" t="s">
        <v>0</v>
      </c>
      <c r="H9" s="31"/>
      <c r="I9" s="42" t="str">
        <f t="shared" ref="I9:I14" si="0">CONCATENATE("* ",B9, " ",E9,"..",F9," ",G9," ##34#",C9,"##34# ##334#",D9,"##334#")</f>
        <v>* insurance.identifier 0..* Identifier ##34#A.1.3.1.1 Health insurance code##34# ##334#Unique health insurance company identification code. ##334#</v>
      </c>
    </row>
    <row r="10" spans="1:11" ht="44.25" x14ac:dyDescent="0.75">
      <c r="A10" s="18">
        <v>3</v>
      </c>
      <c r="B10" s="18" t="s">
        <v>361</v>
      </c>
      <c r="C10" s="16" t="s">
        <v>354</v>
      </c>
      <c r="D10" s="19" t="s">
        <v>358</v>
      </c>
      <c r="E10" s="18">
        <v>0</v>
      </c>
      <c r="F10" s="18" t="s">
        <v>11</v>
      </c>
      <c r="G10" s="18" t="s">
        <v>3</v>
      </c>
      <c r="H10" s="31"/>
      <c r="I10" s="42" t="str">
        <f t="shared" si="0"/>
        <v>* insurance.name 0..* string ##34#A.1.3.1.2 Health insurance name##34# ##334#Full, official name of the healthcare insurance provider. ##334#</v>
      </c>
    </row>
    <row r="11" spans="1:11" ht="44.25" x14ac:dyDescent="0.75">
      <c r="A11" s="18">
        <v>4</v>
      </c>
      <c r="B11" s="18" t="s">
        <v>362</v>
      </c>
      <c r="C11" s="16" t="s">
        <v>355</v>
      </c>
      <c r="D11" s="19" t="s">
        <v>359</v>
      </c>
      <c r="E11" s="18">
        <v>0</v>
      </c>
      <c r="F11" s="18" t="s">
        <v>11</v>
      </c>
      <c r="G11" s="18" t="s">
        <v>0</v>
      </c>
      <c r="H11" s="31"/>
      <c r="I11" s="42" t="str">
        <f t="shared" si="0"/>
        <v>* insurance.subjectIdentifier 0..* Identifier ##34#A.1.3.1.3 Health insurance number##34# ##334#Number or code under which the insured person is registered at the insurance provider. ##334#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B27" si="1">CONCATENATE(C21," ",D21)</f>
        <v xml:space="preserve"> </v>
      </c>
      <c r="I21" s="16"/>
    </row>
    <row r="22" spans="2:9" ht="15.5" thickBot="1" x14ac:dyDescent="0.9">
      <c r="B22" s="16" t="str">
        <f t="shared" si="1"/>
        <v xml:space="preserve"> </v>
      </c>
      <c r="I22" s="16"/>
    </row>
    <row r="23" spans="2:9" ht="16.75" thickBot="1" x14ac:dyDescent="0.9">
      <c r="C23" s="95" t="s">
        <v>340</v>
      </c>
      <c r="D23" s="96"/>
      <c r="E23" s="96"/>
      <c r="F23" s="97"/>
      <c r="I23" s="16"/>
    </row>
    <row r="24" spans="2:9" ht="400.75" thickBot="1" x14ac:dyDescent="0.9">
      <c r="B24" s="16" t="str">
        <f t="shared" si="1"/>
        <v>A.1.3.1 Health insurance information</v>
      </c>
      <c r="C24" s="67" t="s">
        <v>71</v>
      </c>
      <c r="D24" s="48" t="s">
        <v>72</v>
      </c>
      <c r="E24" s="46" t="s">
        <v>410</v>
      </c>
      <c r="F24" s="52"/>
      <c r="I24" s="17"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s="16" t="str">
        <f t="shared" si="1"/>
        <v>A.1.3.1.1 Health insurance code</v>
      </c>
      <c r="C25" s="67" t="s">
        <v>74</v>
      </c>
      <c r="D25" s="48" t="s">
        <v>75</v>
      </c>
      <c r="E25" s="46" t="s">
        <v>76</v>
      </c>
      <c r="F25" s="52"/>
      <c r="I25" s="17" t="str">
        <f t="shared" si="2"/>
        <v xml:space="preserve">Unique health insurance company identification code. - Preferred system(s): </v>
      </c>
    </row>
    <row r="26" spans="2:9" ht="112.75" thickBot="1" x14ac:dyDescent="0.9">
      <c r="B26" s="16" t="str">
        <f t="shared" si="1"/>
        <v>A.1.3.1.2 Health insurance name</v>
      </c>
      <c r="C26" s="67" t="s">
        <v>77</v>
      </c>
      <c r="D26" s="48" t="s">
        <v>78</v>
      </c>
      <c r="E26" s="46" t="s">
        <v>79</v>
      </c>
      <c r="F26" s="52"/>
      <c r="I26" s="17" t="str">
        <f t="shared" si="2"/>
        <v xml:space="preserve">Full, official name of the healthcare insurance provider. - Preferred system(s): </v>
      </c>
    </row>
    <row r="27" spans="2:9" ht="160.75" thickBot="1" x14ac:dyDescent="0.9">
      <c r="B27" s="16" t="str">
        <f t="shared" si="1"/>
        <v>A.1.3.1.3 Health insurance number</v>
      </c>
      <c r="C27" s="67" t="s">
        <v>80</v>
      </c>
      <c r="D27" s="48" t="s">
        <v>81</v>
      </c>
      <c r="E27" s="46" t="s">
        <v>82</v>
      </c>
      <c r="F27" s="52"/>
      <c r="I27" s="17"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E14" sqref="E14"/>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365</v>
      </c>
      <c r="E4" s="36" t="str">
        <f>CONCATENATE("Mapping: ",C4)</f>
        <v>Mapping: eHNLabPayer2Fhir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367</v>
      </c>
      <c r="E6" s="37" t="str">
        <f>CONCATENATE("Title: ##34#",C6,"##34#")</f>
        <v>Title: ##34#eHN Lab Payer model to FHIR R4 Map##34#</v>
      </c>
      <c r="G6" s="17" t="s">
        <v>22</v>
      </c>
      <c r="H6" s="12"/>
      <c r="I6" s="12"/>
      <c r="J6" s="12"/>
      <c r="K6" s="12"/>
      <c r="L6" s="12"/>
      <c r="M6" s="12"/>
      <c r="N6" s="12"/>
      <c r="O6" s="12"/>
    </row>
    <row r="7" spans="1:15" ht="15.5" thickBot="1" x14ac:dyDescent="0.9">
      <c r="B7" s="15" t="s">
        <v>35</v>
      </c>
      <c r="C7" s="13" t="str">
        <f>B9</f>
        <v>Payer</v>
      </c>
      <c r="E7" s="37" t="str">
        <f>CONCATENATE("Source: ",C7)</f>
        <v>Source: Payer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29.5" x14ac:dyDescent="0.75">
      <c r="A9" s="18"/>
      <c r="B9" s="18" t="str">
        <f>'A1.3 Payer'!B5</f>
        <v>Payer</v>
      </c>
      <c r="C9" s="9" t="s">
        <v>364</v>
      </c>
      <c r="E9" s="5" t="str">
        <f>CONCATENATE("* -&gt; ##34#",C9,"##34#")</f>
        <v>* -&gt; ##34#to be mapped##34#</v>
      </c>
      <c r="H9" s="12"/>
      <c r="I9" s="12"/>
      <c r="J9" s="12"/>
      <c r="K9" s="12"/>
      <c r="L9" s="12"/>
      <c r="M9" s="12"/>
      <c r="N9" s="12"/>
      <c r="O9" s="12"/>
    </row>
    <row r="10" spans="1:15" x14ac:dyDescent="0.75">
      <c r="A10" s="18"/>
      <c r="B10" s="18" t="str">
        <f>'A1.3 Payer'!B8</f>
        <v>insurance</v>
      </c>
      <c r="C10" s="18" t="s">
        <v>364</v>
      </c>
      <c r="E10" s="19" t="str">
        <f t="shared" ref="E10:E12" si="0">IF(B10=0,"*  -&gt; ##34###34#",CONCATENATE("* ",B10," -&gt; ##34#",C10,"##34#"))</f>
        <v>* insurance -&gt; ##34#to be mapped##34#</v>
      </c>
      <c r="G10" s="17" t="s">
        <v>25</v>
      </c>
      <c r="H10" s="12"/>
      <c r="I10" s="12"/>
      <c r="J10" s="12"/>
      <c r="K10" s="12"/>
      <c r="L10" s="12"/>
      <c r="M10" s="12"/>
      <c r="N10" s="12"/>
      <c r="O10" s="12"/>
    </row>
    <row r="11" spans="1:15" x14ac:dyDescent="0.75">
      <c r="A11" s="18"/>
      <c r="B11" s="18" t="str">
        <f>'A1.3 Payer'!B9</f>
        <v>insurance.identifier</v>
      </c>
      <c r="C11" s="18" t="s">
        <v>364</v>
      </c>
      <c r="E11" s="19" t="str">
        <f t="shared" si="0"/>
        <v>* insurance.identifier -&gt; ##34#to be mapped##34#</v>
      </c>
      <c r="G11" s="17" t="s">
        <v>26</v>
      </c>
      <c r="H11" s="12"/>
      <c r="I11" s="12"/>
      <c r="J11" s="12"/>
      <c r="K11" s="12"/>
      <c r="L11" s="12"/>
      <c r="M11" s="12"/>
      <c r="N11" s="12"/>
      <c r="O11" s="12"/>
    </row>
    <row r="12" spans="1:15" ht="44.25" x14ac:dyDescent="0.75">
      <c r="A12" s="18"/>
      <c r="B12" s="18" t="str">
        <f>'A1.3 Payer'!B10</f>
        <v>insurance.name</v>
      </c>
      <c r="C12" s="18" t="s">
        <v>364</v>
      </c>
      <c r="E12" s="19" t="str">
        <f t="shared" si="0"/>
        <v>* insurance.name -&gt; ##34#to be mapped##34#</v>
      </c>
      <c r="G12" s="17" t="s">
        <v>27</v>
      </c>
      <c r="H12" s="12"/>
      <c r="I12" s="12"/>
      <c r="J12" s="12"/>
      <c r="K12" s="12"/>
      <c r="L12" s="12"/>
      <c r="M12" s="12"/>
      <c r="N12" s="12"/>
      <c r="O12" s="12"/>
    </row>
    <row r="13" spans="1:15" x14ac:dyDescent="0.75">
      <c r="A13" s="18"/>
      <c r="B13" s="18" t="str">
        <f>'A1.3 Payer'!B11</f>
        <v>insurance.subjectIdentifier</v>
      </c>
      <c r="C13" s="18" t="s">
        <v>364</v>
      </c>
      <c r="E13" s="19" t="str">
        <f>IF(B13=0,"*  -&gt; ##34###34#",CONCATENATE("* ",B13," -&gt; ##34#",C13,"##34#"))</f>
        <v>* insurance.subjectIdentifier -&gt; ##34#to be mapped##34#</v>
      </c>
      <c r="G13" s="17" t="s">
        <v>28</v>
      </c>
      <c r="H13" s="12"/>
      <c r="I13" s="12"/>
      <c r="J13" s="12"/>
      <c r="K13" s="12"/>
      <c r="L13" s="12"/>
      <c r="M13" s="12"/>
      <c r="N13" s="12"/>
      <c r="O13" s="12"/>
    </row>
    <row r="14" spans="1:15" x14ac:dyDescent="0.75">
      <c r="A14" s="18"/>
      <c r="B14" s="18">
        <f>'A1.3 Payer'!B12</f>
        <v>0</v>
      </c>
      <c r="C14" s="18"/>
      <c r="E14" s="19" t="str">
        <f>IF(B14=0,"*  -&gt; ##34###34#",CONCATENATE("* ",B14," -&gt; ##34#",C14,"##34#"))</f>
        <v>*  -&gt; ##34###34#</v>
      </c>
      <c r="G14" s="17" t="s">
        <v>29</v>
      </c>
      <c r="H14" s="12"/>
      <c r="I14" s="12"/>
      <c r="J14" s="12"/>
      <c r="K14" s="12"/>
      <c r="L14" s="12"/>
      <c r="M14" s="12"/>
      <c r="N14" s="12"/>
      <c r="O14" s="12"/>
    </row>
    <row r="15" spans="1:15" ht="29.5" x14ac:dyDescent="0.75">
      <c r="A15" s="18"/>
      <c r="B15" s="18">
        <f>'A1.3 Payer'!B13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F8" sqref="F8"/>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'A1.3 Payer'!I1</f>
        <v>// -------------------------------------------------------------------------------</v>
      </c>
    </row>
    <row r="2" spans="3:7" ht="16.75" thickBot="1" x14ac:dyDescent="0.9">
      <c r="C2" s="41" t="str">
        <f>'A1.3 Payer'!I2</f>
        <v>//  Logical Model</v>
      </c>
      <c r="G2" s="68" t="s">
        <v>370</v>
      </c>
    </row>
    <row r="3" spans="3:7" x14ac:dyDescent="0.75">
      <c r="C3" s="41" t="str">
        <f>'A1.3 Payer'!I3</f>
        <v>// -------------------------------------------------------------------------------</v>
      </c>
    </row>
    <row r="4" spans="3:7" x14ac:dyDescent="0.75">
      <c r="C4" s="33" t="str">
        <f>'A1.3 Payer'!I4</f>
        <v>Logical: PayerLabEhn</v>
      </c>
    </row>
    <row r="5" spans="3:7" x14ac:dyDescent="0.75">
      <c r="C5" s="33" t="str">
        <f>'A1.3 Payer'!I5</f>
        <v>Id: Payer</v>
      </c>
    </row>
    <row r="6" spans="3:7" x14ac:dyDescent="0.75">
      <c r="C6" s="33" t="str">
        <f>'A1.3 Payer'!I6</f>
        <v>Title: ##34#Health insurance and payment information (A.1.3 )##34#</v>
      </c>
    </row>
    <row r="7" spans="3:7" x14ac:dyDescent="0.75">
      <c r="C7" s="33" t="str">
        <f>'A1.3 Payer'!I7</f>
        <v>Description:  ##334#A.1.3 Health insurance and payment information##334#</v>
      </c>
    </row>
    <row r="8" spans="3:7" ht="44.25" x14ac:dyDescent="0.75">
      <c r="C8" s="19"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9" t="str">
        <f>IF('A1.3 Payer'!I9="*  ..  ##34###34# ##334###334#","//--- END",'A1.3 Payer'!I9)</f>
        <v>* insurance.identifier 0..* Identifier ##34#A.1.3.1.1 Health insurance code##34# ##334#Unique health insurance company identification code. ##334#</v>
      </c>
    </row>
    <row r="10" spans="3:7" ht="29.5" x14ac:dyDescent="0.75">
      <c r="C10" s="19" t="str">
        <f>IF('A1.3 Payer'!I10="*  ..  ##34###34# ##334###334#","//--- END",'A1.3 Payer'!I10)</f>
        <v>* insurance.name 0..* string ##34#A.1.3.1.2 Health insurance name##34# ##334#Full, official name of the healthcare insurance provider. ##334#</v>
      </c>
      <c r="E10" s="16" t="s">
        <v>312</v>
      </c>
    </row>
    <row r="11" spans="3:7" ht="44.25" x14ac:dyDescent="0.75">
      <c r="C11" s="19" t="str">
        <f>IF('A1.3 Payer'!I11="*  ..  ##34###34# ##334###334#","//--- END",'A1.3 Payer'!I11)</f>
        <v>* insurance.subjectIdentifier 0..* Identifier ##34#A.1.3.1.3 Health insurance number##34# ##334#Number or code under which the insured person is registered at the insurance provider. ##334#</v>
      </c>
    </row>
    <row r="12" spans="3:7" x14ac:dyDescent="0.75">
      <c r="C12" s="19" t="str">
        <f>IF('A1.3 Payer'!I12="*  ..  ##34###34# ##334###334#","//--- END",'A1.3 Payer'!I12)</f>
        <v>//--- END</v>
      </c>
    </row>
    <row r="13" spans="3:7" x14ac:dyDescent="0.75">
      <c r="C13" s="19" t="str">
        <f>IF('A1.3 Payer'!I13="*  ..  ##34###34# ##334###334#","//--- END",'A1.3 Payer'!I13)</f>
        <v>//--- END</v>
      </c>
    </row>
    <row r="14" spans="3:7" x14ac:dyDescent="0.75">
      <c r="C14" s="19" t="str">
        <f>IF('A1.3 Payer'!I14="*  ..  ##34###34# ##334###334#","//--- END",'A1.3 Payer'!I14)</f>
        <v>//--- END</v>
      </c>
    </row>
    <row r="30" spans="3:3" x14ac:dyDescent="0.75">
      <c r="C30" s="40" t="str">
        <f>'Payer-Map-1'!E1</f>
        <v>// -------------------------------------------------------------------------------</v>
      </c>
    </row>
    <row r="31" spans="3:3" x14ac:dyDescent="0.75">
      <c r="C31" s="41" t="str">
        <f>'Payer-Map-1'!E2</f>
        <v>//  Map to FHIR R4</v>
      </c>
    </row>
    <row r="32" spans="3:3" x14ac:dyDescent="0.75">
      <c r="C32" s="41" t="str">
        <f>'Payer-Map-1'!E3</f>
        <v>// -------------------------------------------------------------------------------</v>
      </c>
    </row>
    <row r="33" spans="3:7" x14ac:dyDescent="0.75">
      <c r="C33" s="19" t="str">
        <f>'Payer-Map-1'!E4</f>
        <v>Mapping: eHNLabPayer2Fhir</v>
      </c>
    </row>
    <row r="34" spans="3:7" x14ac:dyDescent="0.75">
      <c r="C34" s="19" t="str">
        <f>'Payer-Map-1'!E5</f>
        <v>Id: fhir</v>
      </c>
    </row>
    <row r="35" spans="3:7" x14ac:dyDescent="0.75">
      <c r="C35" s="19" t="str">
        <f>'Payer-Map-1'!E6</f>
        <v>Title: ##34#eHN Lab Payer model to FHIR R4 Map##34#</v>
      </c>
    </row>
    <row r="36" spans="3:7" x14ac:dyDescent="0.75">
      <c r="C36" s="19" t="str">
        <f>'Payer-Map-1'!E7</f>
        <v>Source: Payer</v>
      </c>
    </row>
    <row r="37" spans="3:7" x14ac:dyDescent="0.75">
      <c r="C37" s="19" t="str">
        <f>'Payer-Map-1'!E8</f>
        <v>Target: ##34#hl7.org/fhir/r4##34#</v>
      </c>
    </row>
    <row r="39" spans="3:7" x14ac:dyDescent="0.75">
      <c r="C39" s="19" t="str">
        <f>'Payer-Map-1'!E9</f>
        <v>* -&gt; ##34#to be mapped##34#</v>
      </c>
    </row>
    <row r="40" spans="3:7" x14ac:dyDescent="0.75">
      <c r="C40" s="19" t="str">
        <f>IF('Payer-Map-1'!E10="*  -&gt; ##34###34#","// --END",'Payer-Map-1'!E10)</f>
        <v>* insurance -&gt; ##34#to be mapped##34#</v>
      </c>
    </row>
    <row r="41" spans="3:7" x14ac:dyDescent="0.75">
      <c r="C41" s="19" t="str">
        <f>IF('Payer-Map-1'!E11="*  -&gt; ##34###34#","// --END",'Payer-Map-1'!E11)</f>
        <v>* insurance.identifier -&gt; ##34#to be mapped##34#</v>
      </c>
    </row>
    <row r="42" spans="3:7" x14ac:dyDescent="0.75">
      <c r="C42" s="19" t="str">
        <f>IF('Payer-Map-1'!E12="*  -&gt; ##34###34#","// --END",'Payer-Map-1'!E12)</f>
        <v>* insurance.name -&gt; ##34#to be mapped##34#</v>
      </c>
    </row>
    <row r="43" spans="3:7" x14ac:dyDescent="0.75">
      <c r="C43" s="19" t="str">
        <f>IF('Payer-Map-1'!E13="*  -&gt; ##34###34#","// --END",'Payer-Map-1'!E13)</f>
        <v>* insurance.subjectIdentifier -&gt; ##34#to be mapped##34#</v>
      </c>
    </row>
    <row r="44" spans="3:7" x14ac:dyDescent="0.75">
      <c r="C44" s="19" t="str">
        <f>IF('Payer-Map-1'!E14="*  -&gt; ##34###34#","// --END",'Payer-Map-1'!E14)</f>
        <v>// --END</v>
      </c>
    </row>
    <row r="45" spans="3:7" x14ac:dyDescent="0.75">
      <c r="C45" s="19" t="str">
        <f>IF('Payer-Map-1'!E15="*  -&gt; ##34###34#","// --END",'Payer-Map-1'!E15)</f>
        <v>// --END</v>
      </c>
    </row>
    <row r="46" spans="3:7" x14ac:dyDescent="0.75">
      <c r="C46" s="19" t="str">
        <f>IF('Payer-Map-1'!E16="*  -&gt; ##34###34#","// --END",'Payer-Map-1'!E16)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374</v>
      </c>
      <c r="C4" s="21"/>
      <c r="D4" s="3"/>
      <c r="I4" s="33" t="str">
        <f>CONCATENATE("Logical: ",B4)</f>
        <v>Logical: RecipientLabEhn</v>
      </c>
    </row>
    <row r="5" spans="1:11" x14ac:dyDescent="0.75">
      <c r="A5" s="25" t="s">
        <v>19</v>
      </c>
      <c r="B5" s="43" t="s">
        <v>418</v>
      </c>
      <c r="C5" s="21"/>
      <c r="D5" s="3"/>
      <c r="I5" s="33" t="str">
        <f>CONCATENATE("Id: ",B5)</f>
        <v>Id: Recipient</v>
      </c>
    </row>
    <row r="6" spans="1:11" x14ac:dyDescent="0.75">
      <c r="A6" s="27" t="s">
        <v>13</v>
      </c>
      <c r="B6" s="26" t="s">
        <v>455</v>
      </c>
      <c r="C6" s="21"/>
      <c r="D6" s="3"/>
      <c r="I6" s="34" t="str">
        <f>CONCATENATE("Title: ##34#",B6,"##34#")</f>
        <v>Title: ##34#Information recipient (A.1.4)##34#</v>
      </c>
    </row>
    <row r="7" spans="1:11" ht="44.25" x14ac:dyDescent="0.75">
      <c r="A7" s="56" t="s">
        <v>5</v>
      </c>
      <c r="B7" s="72" t="s">
        <v>83</v>
      </c>
      <c r="C7" s="14"/>
      <c r="D7" s="2"/>
      <c r="E7" s="71"/>
      <c r="F7" s="4" t="s">
        <v>9</v>
      </c>
      <c r="G7" s="4" t="s">
        <v>10</v>
      </c>
      <c r="I7" s="34"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18">
        <v>1</v>
      </c>
      <c r="B8" s="18" t="s">
        <v>378</v>
      </c>
      <c r="C8" s="18" t="s">
        <v>375</v>
      </c>
      <c r="D8" s="19" t="s">
        <v>86</v>
      </c>
      <c r="E8" s="18">
        <v>0</v>
      </c>
      <c r="F8" s="18">
        <v>1</v>
      </c>
      <c r="G8" s="18" t="s">
        <v>0</v>
      </c>
      <c r="H8" s="31"/>
      <c r="I8" s="42"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9" spans="1:11" ht="80.75" customHeight="1" x14ac:dyDescent="0.75">
      <c r="A9" s="18">
        <v>2</v>
      </c>
      <c r="B9" s="18" t="s">
        <v>379</v>
      </c>
      <c r="C9" s="18" t="s">
        <v>376</v>
      </c>
      <c r="D9" s="19" t="s">
        <v>89</v>
      </c>
      <c r="E9" s="18">
        <v>0</v>
      </c>
      <c r="F9" s="18" t="s">
        <v>11</v>
      </c>
      <c r="G9" s="18" t="s">
        <v>434</v>
      </c>
      <c r="H9" s="31"/>
      <c r="I9" s="42" t="str">
        <f t="shared" ref="I9:I14" si="0">CONCATENATE("* ",B9, " ",E9,"..",F9," ",G9," ##34#",C9,"##34# ##334#",D9,"##334#")</f>
        <v>* name 0..* HumanName ##34#A.1.4.2 Recipient name##34# ##334#Person name.##334#</v>
      </c>
    </row>
    <row r="10" spans="1:11" ht="30.25" customHeight="1" x14ac:dyDescent="0.75">
      <c r="A10" s="18">
        <v>3</v>
      </c>
      <c r="B10" s="18" t="s">
        <v>380</v>
      </c>
      <c r="C10" s="18" t="s">
        <v>377</v>
      </c>
      <c r="D10" s="19" t="s">
        <v>92</v>
      </c>
      <c r="E10" s="18">
        <v>0</v>
      </c>
      <c r="F10" s="18" t="s">
        <v>11</v>
      </c>
      <c r="G10" s="18" t="s">
        <v>381</v>
      </c>
      <c r="H10" s="31"/>
      <c r="I10" s="42" t="str">
        <f t="shared" si="0"/>
        <v>* organization 0..* Organization ##34#A.1.4.3 Recipient organization ##34# ##334#The healthcare provider organization information.##334#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6" spans="2:9" ht="16.75" thickBot="1" x14ac:dyDescent="0.9">
      <c r="C26" s="95" t="s">
        <v>83</v>
      </c>
      <c r="D26" s="96"/>
      <c r="E26" s="96"/>
      <c r="F26" s="97"/>
    </row>
    <row r="27" spans="2:9" ht="409.6" thickBot="1" x14ac:dyDescent="0.9">
      <c r="B27" s="16" t="str">
        <f t="shared" ref="B27:B29" si="2">CONCATENATE(C27," ",D27)</f>
        <v>A.1.4.1 Recipient identifier</v>
      </c>
      <c r="C27" s="69" t="s">
        <v>84</v>
      </c>
      <c r="D27" s="46" t="s">
        <v>85</v>
      </c>
      <c r="E27" s="46" t="s">
        <v>86</v>
      </c>
      <c r="F27" s="52"/>
      <c r="I27" s="17"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s="16" t="str">
        <f t="shared" si="2"/>
        <v>A.1.4.2 Recipient name</v>
      </c>
      <c r="C28" s="69" t="s">
        <v>87</v>
      </c>
      <c r="D28" s="46" t="s">
        <v>88</v>
      </c>
      <c r="E28" s="46" t="s">
        <v>89</v>
      </c>
      <c r="F28" s="52"/>
      <c r="I28" s="17" t="str">
        <f t="shared" si="3"/>
        <v xml:space="preserve">Person name. - Preferred system(s): </v>
      </c>
    </row>
    <row r="29" spans="2:9" ht="112.75" thickBot="1" x14ac:dyDescent="0.9">
      <c r="B29" s="16" t="str">
        <f t="shared" si="2"/>
        <v>A.1.4.3 Recipient organization </v>
      </c>
      <c r="C29" s="69" t="s">
        <v>90</v>
      </c>
      <c r="D29" s="46" t="s">
        <v>91</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382</v>
      </c>
      <c r="E4" s="36" t="str">
        <f>CONCATENATE("Mapping: ",C4)</f>
        <v>Mapping: eHNLabRecipient2Fhir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383</v>
      </c>
      <c r="E6" s="37" t="str">
        <f>CONCATENATE("Title: ##34#",C6,"##34#")</f>
        <v>Title: ##34#eHN Lab Recipient model to FHIR R4 Map##34#</v>
      </c>
      <c r="G6" s="17" t="s">
        <v>22</v>
      </c>
      <c r="H6" s="12"/>
      <c r="I6" s="12"/>
      <c r="J6" s="12"/>
      <c r="K6" s="12"/>
      <c r="L6" s="12"/>
      <c r="M6" s="12"/>
      <c r="N6" s="12"/>
      <c r="O6" s="12"/>
    </row>
    <row r="7" spans="1:15" ht="15.5" thickBot="1" x14ac:dyDescent="0.9">
      <c r="B7" s="15" t="s">
        <v>35</v>
      </c>
      <c r="C7" s="13" t="str">
        <f>B9</f>
        <v>Recipient</v>
      </c>
      <c r="E7" s="37" t="str">
        <f>CONCATENATE("Source: ",C7)</f>
        <v>Source: Recipient</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'A1.4 Recipient'!B5</f>
        <v>Recipient</v>
      </c>
      <c r="C9" s="9" t="s">
        <v>364</v>
      </c>
      <c r="E9" s="5" t="str">
        <f>CONCATENATE("* -&gt; ##34#",C9,"##34#")</f>
        <v>* -&gt; ##34#to be mapped##34#</v>
      </c>
      <c r="H9" s="12"/>
      <c r="I9" s="12"/>
      <c r="J9" s="12"/>
      <c r="K9" s="12"/>
      <c r="L9" s="12"/>
      <c r="M9" s="12"/>
      <c r="N9" s="12"/>
      <c r="O9" s="12"/>
    </row>
    <row r="10" spans="1:15" x14ac:dyDescent="0.75">
      <c r="A10" s="18"/>
      <c r="B10" s="18" t="str">
        <f>'A1.4 Recipient'!B8</f>
        <v>identifier</v>
      </c>
      <c r="C10" s="18" t="s">
        <v>364</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'A1.4 Recipient'!B9</f>
        <v>name</v>
      </c>
      <c r="C11" s="18" t="s">
        <v>364</v>
      </c>
      <c r="E11" s="19" t="str">
        <f t="shared" si="0"/>
        <v>* name -&gt; ##34#to be mapped##34#</v>
      </c>
      <c r="G11" s="17" t="s">
        <v>26</v>
      </c>
      <c r="H11" s="12"/>
      <c r="I11" s="12"/>
      <c r="J11" s="12"/>
      <c r="K11" s="12"/>
      <c r="L11" s="12"/>
      <c r="M11" s="12"/>
      <c r="N11" s="12"/>
      <c r="O11" s="12"/>
    </row>
    <row r="12" spans="1:15" ht="44.25" x14ac:dyDescent="0.75">
      <c r="A12" s="18"/>
      <c r="B12" s="18" t="str">
        <f>'A1.4 Recipient'!B10</f>
        <v>organization</v>
      </c>
      <c r="C12" s="18" t="s">
        <v>364</v>
      </c>
      <c r="E12" s="19" t="str">
        <f t="shared" si="0"/>
        <v>* organization -&gt; ##34#to be mapped##34#</v>
      </c>
      <c r="G12" s="17" t="s">
        <v>27</v>
      </c>
      <c r="H12" s="12"/>
      <c r="I12" s="12"/>
      <c r="J12" s="12"/>
      <c r="K12" s="12"/>
      <c r="L12" s="12"/>
      <c r="M12" s="12"/>
      <c r="N12" s="12"/>
      <c r="O12" s="12"/>
    </row>
    <row r="13" spans="1:15" x14ac:dyDescent="0.75">
      <c r="A13" s="18"/>
      <c r="B13" s="18">
        <f>'A1.4 Recipient'!B11</f>
        <v>0</v>
      </c>
      <c r="C13" s="18" t="s">
        <v>364</v>
      </c>
      <c r="E13" s="19" t="str">
        <f>IF(B13=0,"*  -&gt; ##34###34#",CONCATENATE("* ",B13," -&gt; ##34#",C13,"##34#"))</f>
        <v>*  -&gt; ##34###34#</v>
      </c>
      <c r="G13" s="17" t="s">
        <v>28</v>
      </c>
      <c r="H13" s="12"/>
      <c r="I13" s="12"/>
      <c r="J13" s="12"/>
      <c r="K13" s="12"/>
      <c r="L13" s="12"/>
      <c r="M13" s="12"/>
      <c r="N13" s="12"/>
      <c r="O13" s="12"/>
    </row>
    <row r="14" spans="1:15" x14ac:dyDescent="0.75">
      <c r="A14" s="18"/>
      <c r="B14" s="18">
        <f>'A1.4 Recipient'!B12</f>
        <v>0</v>
      </c>
      <c r="C14" s="18"/>
      <c r="E14" s="19" t="str">
        <f>IF(B14=0,"*  -&gt; ##34###34#",CONCATENATE("* ",B14," -&gt; ##34#",C14,"##34#"))</f>
        <v>*  -&gt; ##34###34#</v>
      </c>
      <c r="G14" s="17" t="s">
        <v>29</v>
      </c>
      <c r="H14" s="12"/>
      <c r="I14" s="12"/>
      <c r="J14" s="12"/>
      <c r="K14" s="12"/>
      <c r="L14" s="12"/>
      <c r="M14" s="12"/>
      <c r="N14" s="12"/>
      <c r="O14" s="12"/>
    </row>
    <row r="15" spans="1:15" ht="29.5" x14ac:dyDescent="0.75">
      <c r="A15" s="18"/>
      <c r="B15" s="18">
        <f>'A1.4 Recipient'!B13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'A1.4 Recipient'!I1</f>
        <v>// -------------------------------------------------------------------------------</v>
      </c>
    </row>
    <row r="2" spans="3:7" ht="16.75" thickBot="1" x14ac:dyDescent="0.9">
      <c r="C2" s="41" t="str">
        <f>'A1.4 Recipient'!I2</f>
        <v>//  Logical Model</v>
      </c>
      <c r="G2" s="68" t="s">
        <v>384</v>
      </c>
    </row>
    <row r="3" spans="3:7" x14ac:dyDescent="0.75">
      <c r="C3" s="41" t="str">
        <f>'A1.4 Recipient'!I3</f>
        <v>// -------------------------------------------------------------------------------</v>
      </c>
    </row>
    <row r="4" spans="3:7" x14ac:dyDescent="0.75">
      <c r="C4" s="33" t="str">
        <f>'A1.4 Recipient'!I4</f>
        <v>Logical: RecipientLabEhn</v>
      </c>
    </row>
    <row r="5" spans="3:7" x14ac:dyDescent="0.75">
      <c r="C5" s="33" t="str">
        <f>'A1.4 Recipient'!I5</f>
        <v>Id: Recipient</v>
      </c>
    </row>
    <row r="6" spans="3:7" x14ac:dyDescent="0.75">
      <c r="C6" s="33" t="str">
        <f>'A1.4 Recipient'!I6</f>
        <v>Title: ##34#Information recipient (A.1.4)##34#</v>
      </c>
    </row>
    <row r="7" spans="3:7" ht="29.5" x14ac:dyDescent="0.75">
      <c r="C7" s="33" t="str">
        <f>'A1.4 Recipient'!I7</f>
        <v>Description:  ##334#A.1.4 Information recipient (intended recipient or recipients of the report, additional recipients might be identified by the ordering party, e.g. GP, other specialist), if applicable##334#</v>
      </c>
    </row>
    <row r="8" spans="3:7" ht="59" x14ac:dyDescent="0.75">
      <c r="C8" s="19"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9" spans="3:7" ht="29.5" x14ac:dyDescent="0.75">
      <c r="C9" s="19" t="str">
        <f>IF('A1.4 Recipient'!I9="*  ..  ##34###34# ##334###334#","//--- END",'A1.4 Recipient'!I9)</f>
        <v>* name 0..* HumanName ##34#A.1.4.2 Recipient name##34# ##334#Person name.##334#</v>
      </c>
    </row>
    <row r="10" spans="3:7" ht="29.5" x14ac:dyDescent="0.75">
      <c r="C10" s="19" t="str">
        <f>IF('A1.4 Recipient'!I10="*  ..  ##34###34# ##334###334#","//--- END",'A1.4 Recipient'!I10)</f>
        <v>* organization 0..* Organization ##34#A.1.4.3 Recipient organization ##34# ##334#The healthcare provider organization information.##334#</v>
      </c>
      <c r="E10" s="16" t="s">
        <v>312</v>
      </c>
    </row>
    <row r="11" spans="3:7" x14ac:dyDescent="0.75">
      <c r="C11" s="19" t="str">
        <f>IF('A1.4 Recipient'!I11="*  ..  ##34###34# ##334###334#","//--- END",'A1.4 Recipient'!I11)</f>
        <v>//--- END</v>
      </c>
    </row>
    <row r="12" spans="3:7" x14ac:dyDescent="0.75">
      <c r="C12" s="19" t="str">
        <f>IF('A1.4 Recipient'!I12="*  ..  ##34###34# ##334###334#","//--- END",'A1.4 Recipient'!I12)</f>
        <v>//--- END</v>
      </c>
    </row>
    <row r="13" spans="3:7" x14ac:dyDescent="0.75">
      <c r="C13" s="19" t="str">
        <f>IF('A1.4 Recipient'!I13="*  ..  ##34###34# ##334###334#","//--- END",'A1.4 Recipient'!I13)</f>
        <v>//--- END</v>
      </c>
    </row>
    <row r="14" spans="3:7" x14ac:dyDescent="0.75">
      <c r="C14" s="19" t="str">
        <f>IF('A1.4 Recipient'!I14="*  ..  ##34###34# ##334###334#","//--- END",'A1.4 Recipient'!I14)</f>
        <v>//--- END</v>
      </c>
    </row>
    <row r="30" spans="3:3" x14ac:dyDescent="0.75">
      <c r="C30" s="40" t="str">
        <f>'Recipient-Map-1'!E1</f>
        <v>// -------------------------------------------------------------------------------</v>
      </c>
    </row>
    <row r="31" spans="3:3" x14ac:dyDescent="0.75">
      <c r="C31" s="41" t="str">
        <f>'Recipient-Map-1'!E2</f>
        <v>//  Map to FHIR R4</v>
      </c>
    </row>
    <row r="32" spans="3:3" x14ac:dyDescent="0.75">
      <c r="C32" s="41" t="str">
        <f>'Recipient-Map-1'!E3</f>
        <v>// -------------------------------------------------------------------------------</v>
      </c>
    </row>
    <row r="33" spans="3:7" x14ac:dyDescent="0.75">
      <c r="C33" s="19" t="str">
        <f>'Recipient-Map-1'!E4</f>
        <v>Mapping: eHNLabRecipient2Fhir</v>
      </c>
    </row>
    <row r="34" spans="3:7" x14ac:dyDescent="0.75">
      <c r="C34" s="19" t="str">
        <f>'Recipient-Map-1'!E5</f>
        <v>Id: fhir</v>
      </c>
    </row>
    <row r="35" spans="3:7" x14ac:dyDescent="0.75">
      <c r="C35" s="19" t="str">
        <f>'Recipient-Map-1'!E6</f>
        <v>Title: ##34#eHN Lab Recipient model to FHIR R4 Map##34#</v>
      </c>
    </row>
    <row r="36" spans="3:7" x14ac:dyDescent="0.75">
      <c r="C36" s="19" t="str">
        <f>'Recipient-Map-1'!E7</f>
        <v>Source: Recipient</v>
      </c>
    </row>
    <row r="37" spans="3:7" x14ac:dyDescent="0.75">
      <c r="C37" s="19" t="str">
        <f>'Recipient-Map-1'!E8</f>
        <v>Target: ##34#hl7.org/fhir/r4##34#</v>
      </c>
    </row>
    <row r="39" spans="3:7" x14ac:dyDescent="0.75">
      <c r="C39" s="19" t="str">
        <f>'Recipient-Map-1'!E9</f>
        <v>* -&gt; ##34#to be mapped##34#</v>
      </c>
    </row>
    <row r="40" spans="3:7" x14ac:dyDescent="0.75">
      <c r="C40" s="19" t="str">
        <f>IF('Recipient-Map-1'!E10="*  -&gt; ##34###34#","// --END",'Recipient-Map-1'!E10)</f>
        <v>* identifier -&gt; ##34#to be mapped##34#</v>
      </c>
    </row>
    <row r="41" spans="3:7" x14ac:dyDescent="0.75">
      <c r="C41" s="19" t="str">
        <f>IF('Recipient-Map-1'!E11="*  -&gt; ##34###34#","// --END",'Recipient-Map-1'!E11)</f>
        <v>* name -&gt; ##34#to be mapped##34#</v>
      </c>
    </row>
    <row r="42" spans="3:7" x14ac:dyDescent="0.75">
      <c r="C42" s="19" t="str">
        <f>IF('Recipient-Map-1'!E12="*  -&gt; ##34###34#","// --END",'Recipient-Map-1'!E12)</f>
        <v>* organization -&gt; ##34#to be mapped##34#</v>
      </c>
    </row>
    <row r="43" spans="3:7" x14ac:dyDescent="0.75">
      <c r="C43" s="19" t="str">
        <f>IF('Recipient-Map-1'!E13="*  -&gt; ##34###34#","// --END",'Recipient-Map-1'!E13)</f>
        <v>// --END</v>
      </c>
    </row>
    <row r="44" spans="3:7" x14ac:dyDescent="0.75">
      <c r="C44" s="19" t="str">
        <f>IF('Recipient-Map-1'!E14="*  -&gt; ##34###34#","// --END",'Recipient-Map-1'!E14)</f>
        <v>// --END</v>
      </c>
    </row>
    <row r="45" spans="3:7" x14ac:dyDescent="0.75">
      <c r="C45" s="19" t="str">
        <f>IF('Recipient-Map-1'!E15="*  -&gt; ##34###34#","// --END",'Recipient-Map-1'!E15)</f>
        <v>// --END</v>
      </c>
    </row>
    <row r="46" spans="3:7" x14ac:dyDescent="0.75">
      <c r="C46" s="19" t="str">
        <f>IF('Recipient-Map-1'!E16="*  -&gt; ##34###34#","// --END",'Recipient-Map-1'!E16)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430</v>
      </c>
      <c r="C4" s="21"/>
      <c r="D4" s="3"/>
      <c r="I4" s="33" t="str">
        <f>CONCATENATE("Logical: ",B4)</f>
        <v>Logical: AuthorLabEhn</v>
      </c>
    </row>
    <row r="5" spans="1:11" x14ac:dyDescent="0.75">
      <c r="A5" s="25" t="s">
        <v>19</v>
      </c>
      <c r="B5" s="43" t="s">
        <v>431</v>
      </c>
      <c r="C5" s="21"/>
      <c r="D5" s="3"/>
      <c r="I5" s="33" t="str">
        <f>CONCATENATE("Id: ",B5)</f>
        <v>Id: Author</v>
      </c>
    </row>
    <row r="6" spans="1:11" x14ac:dyDescent="0.75">
      <c r="A6" s="27" t="s">
        <v>13</v>
      </c>
      <c r="B6" s="26" t="s">
        <v>456</v>
      </c>
      <c r="C6" s="21"/>
      <c r="D6" s="3"/>
      <c r="I6" s="34" t="str">
        <f>CONCATENATE("Title: ##34#",B6,"##34#")</f>
        <v>Title: ##34#Author (A.1.5)##34#</v>
      </c>
    </row>
    <row r="7" spans="1:11" ht="45" customHeight="1" x14ac:dyDescent="0.75">
      <c r="A7" s="56" t="s">
        <v>5</v>
      </c>
      <c r="B7" s="72" t="s">
        <v>93</v>
      </c>
      <c r="C7" s="14"/>
      <c r="D7" s="2"/>
      <c r="E7" s="71"/>
      <c r="F7" s="4" t="s">
        <v>9</v>
      </c>
      <c r="G7" s="4" t="s">
        <v>10</v>
      </c>
      <c r="I7" s="34" t="str">
        <f>CONCATENATE("Description: "," ##334#",B7,"##334#",)</f>
        <v>Description:  ##334#A.1.5 Author (by whom the Laboratory result report or a subset of its results was authored)##334#</v>
      </c>
    </row>
    <row r="8" spans="1:11" ht="74.5" customHeight="1" x14ac:dyDescent="0.75">
      <c r="A8" s="18">
        <v>1</v>
      </c>
      <c r="B8" s="18" t="s">
        <v>378</v>
      </c>
      <c r="C8" s="18" t="s">
        <v>421</v>
      </c>
      <c r="D8" s="19" t="s">
        <v>424</v>
      </c>
      <c r="E8" s="18">
        <v>0</v>
      </c>
      <c r="F8" s="18">
        <v>1</v>
      </c>
      <c r="G8" s="18" t="s">
        <v>0</v>
      </c>
      <c r="H8" s="31"/>
      <c r="I8" s="42"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379</v>
      </c>
      <c r="C9" s="18" t="s">
        <v>422</v>
      </c>
      <c r="D9" s="19" t="s">
        <v>425</v>
      </c>
      <c r="E9" s="18">
        <v>0</v>
      </c>
      <c r="F9" s="18" t="s">
        <v>11</v>
      </c>
      <c r="G9" s="18" t="s">
        <v>434</v>
      </c>
      <c r="H9" s="31"/>
      <c r="I9" s="42" t="str">
        <f t="shared" ref="I9:I14" si="0">CONCATENATE("* ",B9, " ",E9,"..",F9," ",G9," ##34#",C9,"##34# ##334#",D9,"##334#")</f>
        <v>* name 0..* HumanName ##34#A.1.5.2 Author name##34# ##334#Person or device name. - Preferred system(s): ##334#</v>
      </c>
    </row>
    <row r="10" spans="1:11" ht="30.25" customHeight="1" x14ac:dyDescent="0.75">
      <c r="A10" s="18">
        <v>3</v>
      </c>
      <c r="B10" s="18" t="s">
        <v>380</v>
      </c>
      <c r="C10" s="18" t="s">
        <v>423</v>
      </c>
      <c r="D10" s="19" t="s">
        <v>402</v>
      </c>
      <c r="E10" s="18">
        <v>0</v>
      </c>
      <c r="F10" s="18" t="s">
        <v>11</v>
      </c>
      <c r="G10" s="18" t="s">
        <v>381</v>
      </c>
      <c r="H10" s="31"/>
      <c r="I10" s="42" t="str">
        <f t="shared" si="0"/>
        <v>* organization 0..* Organization ##34#A.1.5.3 Author organization ##34# ##334#The healthcare provider organization information. - Preferred system(s): ##334#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5" t="s">
        <v>93</v>
      </c>
      <c r="D26" s="96"/>
      <c r="E26" s="96"/>
      <c r="F26" s="97"/>
    </row>
    <row r="27" spans="2:9" ht="409.6" thickBot="1" x14ac:dyDescent="0.9">
      <c r="B27" s="16" t="str">
        <f t="shared" ref="B27:B29" si="2">CONCATENATE(C27," ",D27)</f>
        <v>A.1.5.1 Author identifier</v>
      </c>
      <c r="C27" s="78" t="s">
        <v>94</v>
      </c>
      <c r="D27" s="46" t="s">
        <v>95</v>
      </c>
      <c r="E27" s="46" t="s">
        <v>96</v>
      </c>
      <c r="F27" s="52"/>
      <c r="I27" s="17"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s="16" t="str">
        <f t="shared" si="2"/>
        <v>A.1.5.2 Author name</v>
      </c>
      <c r="C28" s="78" t="s">
        <v>97</v>
      </c>
      <c r="D28" s="46" t="s">
        <v>98</v>
      </c>
      <c r="E28" s="46" t="s">
        <v>99</v>
      </c>
      <c r="F28" s="52"/>
      <c r="I28" s="17" t="str">
        <f t="shared" si="3"/>
        <v xml:space="preserve">Person or device name. - Preferred system(s): </v>
      </c>
    </row>
    <row r="29" spans="2:9" ht="112.75" thickBot="1" x14ac:dyDescent="0.9">
      <c r="B29" s="16" t="str">
        <f t="shared" si="2"/>
        <v>A.1.5.3 Author organization </v>
      </c>
      <c r="C29" s="78" t="s">
        <v>100</v>
      </c>
      <c r="D29" s="46" t="s">
        <v>101</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432</v>
      </c>
      <c r="E4" s="36" t="str">
        <f>CONCATENATE("Mapping: ",C4)</f>
        <v>Mapping: eHNLabAuthor2Fhir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433</v>
      </c>
      <c r="E6" s="37" t="str">
        <f>CONCATENATE("Title: ##34#",C6,"##34#")</f>
        <v>Title: ##34#eHN Lab Author model to FHIR R4 Map##34#</v>
      </c>
      <c r="G6" s="17" t="s">
        <v>22</v>
      </c>
      <c r="H6" s="12"/>
      <c r="I6" s="12"/>
      <c r="J6" s="12"/>
      <c r="K6" s="12"/>
      <c r="L6" s="12"/>
      <c r="M6" s="12"/>
      <c r="N6" s="12"/>
      <c r="O6" s="12"/>
    </row>
    <row r="7" spans="1:15" ht="15.5" thickBot="1" x14ac:dyDescent="0.9">
      <c r="B7" s="15" t="s">
        <v>35</v>
      </c>
      <c r="C7" s="13" t="str">
        <f>B9</f>
        <v>Author</v>
      </c>
      <c r="E7" s="37" t="str">
        <f>CONCATENATE("Source: ",C7)</f>
        <v>Source: Author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'A1.5 Author'!B5</f>
        <v>Author</v>
      </c>
      <c r="C9" s="9" t="s">
        <v>364</v>
      </c>
      <c r="E9" s="5" t="str">
        <f>CONCATENATE("* -&gt; ##34#",C9,"##34#")</f>
        <v>* -&gt; ##34#to be mapped##34#</v>
      </c>
      <c r="H9" s="12"/>
      <c r="I9" s="12"/>
      <c r="J9" s="12"/>
      <c r="K9" s="12"/>
      <c r="L9" s="12"/>
      <c r="M9" s="12"/>
      <c r="N9" s="12"/>
      <c r="O9" s="12"/>
    </row>
    <row r="10" spans="1:15" x14ac:dyDescent="0.75">
      <c r="A10" s="18"/>
      <c r="B10" s="18" t="str">
        <f>'A1.5 Author'!B8</f>
        <v>identifier</v>
      </c>
      <c r="C10" s="18" t="s">
        <v>364</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'A1.5 Author'!B9</f>
        <v>name</v>
      </c>
      <c r="C11" s="18" t="s">
        <v>364</v>
      </c>
      <c r="E11" s="19" t="str">
        <f t="shared" si="0"/>
        <v>* name -&gt; ##34#to be mapped##34#</v>
      </c>
      <c r="G11" s="17" t="s">
        <v>26</v>
      </c>
      <c r="H11" s="12"/>
      <c r="I11" s="12"/>
      <c r="J11" s="12"/>
      <c r="K11" s="12"/>
      <c r="L11" s="12"/>
      <c r="M11" s="12"/>
      <c r="N11" s="12"/>
      <c r="O11" s="12"/>
    </row>
    <row r="12" spans="1:15" ht="44.25" x14ac:dyDescent="0.75">
      <c r="A12" s="18"/>
      <c r="B12" s="18" t="str">
        <f>'A1.5 Author'!B10</f>
        <v>organization</v>
      </c>
      <c r="C12" s="18" t="s">
        <v>364</v>
      </c>
      <c r="E12" s="19" t="str">
        <f t="shared" si="0"/>
        <v>* organization -&gt; ##34#to be mapped##34#</v>
      </c>
      <c r="G12" s="17" t="s">
        <v>27</v>
      </c>
      <c r="H12" s="12"/>
      <c r="I12" s="12"/>
      <c r="J12" s="12"/>
      <c r="K12" s="12"/>
      <c r="L12" s="12"/>
      <c r="M12" s="12"/>
      <c r="N12" s="12"/>
      <c r="O12" s="12"/>
    </row>
    <row r="13" spans="1:15" x14ac:dyDescent="0.75">
      <c r="A13" s="18"/>
      <c r="B13" s="18">
        <f>'A1.5 Author'!B11</f>
        <v>0</v>
      </c>
      <c r="C13" s="18" t="s">
        <v>364</v>
      </c>
      <c r="E13" s="19" t="str">
        <f>IF(B13=0,"*  -&gt; ##34###34#",CONCATENATE("* ",B13," -&gt; ##34#",C13,"##34#"))</f>
        <v>*  -&gt; ##34###34#</v>
      </c>
      <c r="G13" s="17" t="s">
        <v>28</v>
      </c>
      <c r="H13" s="12"/>
      <c r="I13" s="12"/>
      <c r="J13" s="12"/>
      <c r="K13" s="12"/>
      <c r="L13" s="12"/>
      <c r="M13" s="12"/>
      <c r="N13" s="12"/>
      <c r="O13" s="12"/>
    </row>
    <row r="14" spans="1:15" x14ac:dyDescent="0.75">
      <c r="A14" s="18"/>
      <c r="B14" s="18">
        <f>'A1.5 Author'!B12</f>
        <v>0</v>
      </c>
      <c r="C14" s="18"/>
      <c r="E14" s="19" t="str">
        <f>IF(B14=0,"*  -&gt; ##34###34#",CONCATENATE("* ",B14," -&gt; ##34#",C14,"##34#"))</f>
        <v>*  -&gt; ##34###34#</v>
      </c>
      <c r="G14" s="17" t="s">
        <v>29</v>
      </c>
      <c r="H14" s="12"/>
      <c r="I14" s="12"/>
      <c r="J14" s="12"/>
      <c r="K14" s="12"/>
      <c r="L14" s="12"/>
      <c r="M14" s="12"/>
      <c r="N14" s="12"/>
      <c r="O14" s="12"/>
    </row>
    <row r="15" spans="1:15" ht="29.5" x14ac:dyDescent="0.75">
      <c r="A15" s="18"/>
      <c r="B15" s="18">
        <f>'A1.5 Author'!B13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48"/>
  <sheetViews>
    <sheetView workbookViewId="0">
      <selection activeCell="F12" sqref="F12"/>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'A1.5 Author'!I1</f>
        <v>// -------------------------------------------------------------------------------</v>
      </c>
    </row>
    <row r="2" spans="3:7" ht="16.75" thickBot="1" x14ac:dyDescent="0.9">
      <c r="C2" s="41" t="str">
        <f>'A1.5 Author'!I2</f>
        <v>//  Logical Model</v>
      </c>
      <c r="G2" s="68" t="s">
        <v>426</v>
      </c>
    </row>
    <row r="3" spans="3:7" x14ac:dyDescent="0.75">
      <c r="C3" s="41" t="str">
        <f>'A1.5 Author'!I3</f>
        <v>// -------------------------------------------------------------------------------</v>
      </c>
    </row>
    <row r="4" spans="3:7" x14ac:dyDescent="0.75">
      <c r="C4" s="33" t="str">
        <f>'A1.5 Author'!I4</f>
        <v>Logical: AuthorLabEhn</v>
      </c>
    </row>
    <row r="5" spans="3:7" x14ac:dyDescent="0.75">
      <c r="C5" s="33" t="str">
        <f>'A1.5 Author'!I5</f>
        <v>Id: Author</v>
      </c>
    </row>
    <row r="6" spans="3:7" x14ac:dyDescent="0.75">
      <c r="C6" s="33" t="str">
        <f>'A1.5 Author'!I6</f>
        <v>Title: ##34#Author (A.1.5)##34#</v>
      </c>
    </row>
    <row r="7" spans="3:7" ht="29.5" x14ac:dyDescent="0.75">
      <c r="C7" s="33" t="str">
        <f>'A1.5 Author'!I7</f>
        <v>Description:  ##334#A.1.5 Author (by whom the Laboratory result report or a subset of its results was authored)##334#</v>
      </c>
    </row>
    <row r="8" spans="3:7" ht="44.25" x14ac:dyDescent="0.75">
      <c r="C8" s="19"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9" t="str">
        <f>IF('A1.5 Author'!I9="*  ..  ##34###34# ##334###334#","//--- END",'A1.5 Author'!I9)</f>
        <v>* name 0..* HumanName ##34#A.1.5.2 Author name##34# ##334#Person or device name. - Preferred system(s): ##334#</v>
      </c>
    </row>
    <row r="10" spans="3:7" ht="29.5" x14ac:dyDescent="0.75">
      <c r="C10" s="19" t="str">
        <f>IF('A1.5 Author'!I10="*  ..  ##34###34# ##334###334#","//--- END",'A1.5 Author'!I10)</f>
        <v>* organization 0..* Organization ##34#A.1.5.3 Author organization ##34# ##334#The healthcare provider organization information. - Preferred system(s): ##334#</v>
      </c>
      <c r="E10" s="16" t="s">
        <v>312</v>
      </c>
    </row>
    <row r="11" spans="3:7" x14ac:dyDescent="0.75">
      <c r="C11" s="19" t="str">
        <f>IF('A1.5 Author'!I11="*  ..  ##34###34# ##334###334#","//--- END",'A1.5 Author'!I11)</f>
        <v>//--- END</v>
      </c>
    </row>
    <row r="12" spans="3:7" x14ac:dyDescent="0.75">
      <c r="C12" s="19" t="str">
        <f>IF('A1.5 Author'!I12="*  ..  ##34###34# ##334###334#","//--- END",'A1.5 Author'!I12)</f>
        <v>//--- END</v>
      </c>
    </row>
    <row r="13" spans="3:7" x14ac:dyDescent="0.75">
      <c r="C13" s="19" t="str">
        <f>IF('A1.5 Author'!I13="*  ..  ##34###34# ##334###334#","//--- END",'A1.5 Author'!I13)</f>
        <v>//--- END</v>
      </c>
    </row>
    <row r="14" spans="3:7" x14ac:dyDescent="0.75">
      <c r="C14" s="19" t="str">
        <f>IF('A1.5 Author'!I14="*  ..  ##34###34# ##334###334#","//--- END",'A1.5 Author'!I14)</f>
        <v>//--- END</v>
      </c>
    </row>
    <row r="30" spans="3:3" x14ac:dyDescent="0.75">
      <c r="C30" s="40" t="str">
        <f>'Author-Map-1'!E1</f>
        <v>// -------------------------------------------------------------------------------</v>
      </c>
    </row>
    <row r="31" spans="3:3" x14ac:dyDescent="0.75">
      <c r="C31" s="41" t="str">
        <f>'Author-Map-1'!E2</f>
        <v>//  Map to FHIR R4</v>
      </c>
    </row>
    <row r="32" spans="3:3" x14ac:dyDescent="0.75">
      <c r="C32" s="41" t="str">
        <f>'Author-Map-1'!E3</f>
        <v>// -------------------------------------------------------------------------------</v>
      </c>
    </row>
    <row r="33" spans="3:7" x14ac:dyDescent="0.75">
      <c r="C33" s="19" t="str">
        <f>'Author-Map-1'!E4</f>
        <v>Mapping: eHNLabAuthor2Fhir</v>
      </c>
    </row>
    <row r="34" spans="3:7" x14ac:dyDescent="0.75">
      <c r="C34" s="19" t="str">
        <f>'Author-Map-1'!E5</f>
        <v>Id: fhir</v>
      </c>
    </row>
    <row r="35" spans="3:7" x14ac:dyDescent="0.75">
      <c r="C35" s="19" t="str">
        <f>'Author-Map-1'!E6</f>
        <v>Title: ##34#eHN Lab Author model to FHIR R4 Map##34#</v>
      </c>
    </row>
    <row r="36" spans="3:7" x14ac:dyDescent="0.75">
      <c r="C36" s="19" t="str">
        <f>'Author-Map-1'!E7</f>
        <v>Source: Author</v>
      </c>
    </row>
    <row r="37" spans="3:7" x14ac:dyDescent="0.75">
      <c r="C37" s="19" t="str">
        <f>'Author-Map-1'!E8</f>
        <v>Target: ##34#hl7.org/fhir/r4##34#</v>
      </c>
    </row>
    <row r="39" spans="3:7" x14ac:dyDescent="0.75">
      <c r="C39" s="19" t="str">
        <f>'Author-Map-1'!E9</f>
        <v>* -&gt; ##34#to be mapped##34#</v>
      </c>
    </row>
    <row r="40" spans="3:7" x14ac:dyDescent="0.75">
      <c r="C40" s="19" t="str">
        <f>IF('Author-Map-1'!E10="*  -&gt; ##34###34#","// --END",'Author-Map-1'!E10)</f>
        <v>* identifier -&gt; ##34#to be mapped##34#</v>
      </c>
    </row>
    <row r="41" spans="3:7" x14ac:dyDescent="0.75">
      <c r="C41" s="19" t="str">
        <f>IF('Author-Map-1'!E11="*  -&gt; ##34###34#","// --END",'Author-Map-1'!E11)</f>
        <v>* name -&gt; ##34#to be mapped##34#</v>
      </c>
    </row>
    <row r="42" spans="3:7" x14ac:dyDescent="0.75">
      <c r="C42" s="19" t="str">
        <f>IF('Author-Map-1'!E12="*  -&gt; ##34###34#","// --END",'Author-Map-1'!E12)</f>
        <v>* organization -&gt; ##34#to be mapped##34#</v>
      </c>
    </row>
    <row r="43" spans="3:7" x14ac:dyDescent="0.75">
      <c r="C43" s="19" t="str">
        <f>IF('Author-Map-1'!E13="*  -&gt; ##34###34#","// --END",'Author-Map-1'!E13)</f>
        <v>// --END</v>
      </c>
    </row>
    <row r="44" spans="3:7" x14ac:dyDescent="0.75">
      <c r="C44" s="19" t="str">
        <f>IF('Author-Map-1'!E14="*  -&gt; ##34###34#","// --END",'Author-Map-1'!E14)</f>
        <v>// --END</v>
      </c>
    </row>
    <row r="45" spans="3:7" x14ac:dyDescent="0.75">
      <c r="C45" s="19" t="str">
        <f>IF('Author-Map-1'!E15="*  -&gt; ##34###34#","// --END",'Author-Map-1'!E15)</f>
        <v>// --END</v>
      </c>
    </row>
    <row r="46" spans="3:7" x14ac:dyDescent="0.75">
      <c r="C46" s="19" t="str">
        <f>IF('Author-Map-1'!E16="*  -&gt; ##34###34#","// --END",'Author-Map-1'!E16)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404</v>
      </c>
      <c r="C4" s="21"/>
      <c r="D4" s="3"/>
      <c r="I4" s="33" t="str">
        <f>CONCATENATE("Logical: ",B4)</f>
        <v>Logical: LegalAuthenticatorLabEhn</v>
      </c>
    </row>
    <row r="5" spans="1:11" x14ac:dyDescent="0.75">
      <c r="A5" s="25" t="s">
        <v>19</v>
      </c>
      <c r="B5" s="43" t="s">
        <v>417</v>
      </c>
      <c r="C5" s="21"/>
      <c r="D5" s="3"/>
      <c r="I5" s="33" t="str">
        <f>CONCATENATE("Id: ",B5)</f>
        <v>Id: LegalAuthenticator</v>
      </c>
    </row>
    <row r="6" spans="1:11" x14ac:dyDescent="0.75">
      <c r="A6" s="27" t="s">
        <v>13</v>
      </c>
      <c r="B6" s="26" t="s">
        <v>457</v>
      </c>
      <c r="C6" s="21"/>
      <c r="D6" s="3"/>
      <c r="I6" s="34" t="str">
        <f>CONCATENATE("Title: ##34#",B6,"##34#")</f>
        <v>Title: ##34#Legal authenticator (A.1.6)##34#</v>
      </c>
    </row>
    <row r="7" spans="1:11" ht="29.5" x14ac:dyDescent="0.75">
      <c r="A7" s="56" t="s">
        <v>5</v>
      </c>
      <c r="B7" s="72" t="s">
        <v>102</v>
      </c>
      <c r="C7" s="14"/>
      <c r="D7" s="2"/>
      <c r="E7" s="71"/>
      <c r="F7" s="4" t="s">
        <v>9</v>
      </c>
      <c r="G7" s="4" t="s">
        <v>10</v>
      </c>
      <c r="I7" s="34" t="str">
        <f>CONCATENATE("Description: "," ##334#",B7,"##334#",)</f>
        <v>Description:  ##334#A.1.6 Legal authenticator (The person taking responsibility for the medical content of the document)##334#</v>
      </c>
    </row>
    <row r="8" spans="1:11" ht="74.5" customHeight="1" x14ac:dyDescent="0.75">
      <c r="A8" s="18">
        <v>1</v>
      </c>
      <c r="B8" s="18" t="s">
        <v>378</v>
      </c>
      <c r="C8" s="18" t="s">
        <v>397</v>
      </c>
      <c r="D8" s="19" t="s">
        <v>401</v>
      </c>
      <c r="E8" s="18">
        <v>0</v>
      </c>
      <c r="F8" s="18">
        <v>1</v>
      </c>
      <c r="G8" s="18" t="s">
        <v>0</v>
      </c>
      <c r="H8" s="31"/>
      <c r="I8" s="42"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379</v>
      </c>
      <c r="C9" s="18" t="s">
        <v>398</v>
      </c>
      <c r="D9" s="19" t="s">
        <v>393</v>
      </c>
      <c r="E9" s="18">
        <v>0</v>
      </c>
      <c r="F9" s="18" t="s">
        <v>11</v>
      </c>
      <c r="G9" s="18" t="s">
        <v>434</v>
      </c>
      <c r="H9" s="31"/>
      <c r="I9" s="42" t="str">
        <f t="shared" ref="I9:I14" si="0">CONCATENATE("* ",B9, " ",E9,"..",F9," ",G9," ##34#",C9,"##34# ##334#",D9,"##334#")</f>
        <v>* name 0..* HumanName ##34#A.1.6.2 Legal authenticator name##34# ##334#Person name. - Preferred system(s): ##334#</v>
      </c>
    </row>
    <row r="10" spans="1:11" ht="30.25" customHeight="1" x14ac:dyDescent="0.75">
      <c r="A10" s="18">
        <v>3</v>
      </c>
      <c r="B10" s="18" t="s">
        <v>380</v>
      </c>
      <c r="C10" s="18" t="s">
        <v>399</v>
      </c>
      <c r="D10" s="19" t="s">
        <v>402</v>
      </c>
      <c r="E10" s="18">
        <v>0</v>
      </c>
      <c r="F10" s="18" t="s">
        <v>11</v>
      </c>
      <c r="G10" s="18" t="s">
        <v>381</v>
      </c>
      <c r="H10" s="31"/>
      <c r="I10" s="42" t="str">
        <f t="shared" si="0"/>
        <v>* organization 0..* Organization ##34#A.1.6.3 Legal authenticator organization ##34# ##334#The healthcare provider organization information. - Preferred system(s): ##334#</v>
      </c>
    </row>
    <row r="11" spans="1:11" ht="45" customHeight="1" x14ac:dyDescent="0.75">
      <c r="A11" s="73">
        <v>4</v>
      </c>
      <c r="B11" s="73" t="s">
        <v>2</v>
      </c>
      <c r="C11" s="16" t="s">
        <v>400</v>
      </c>
      <c r="D11" s="74" t="s">
        <v>403</v>
      </c>
      <c r="E11" s="73">
        <v>0</v>
      </c>
      <c r="F11" s="73">
        <v>1</v>
      </c>
      <c r="G11" s="73" t="s">
        <v>2</v>
      </c>
      <c r="H11" s="31"/>
      <c r="I11" s="42" t="str">
        <f t="shared" si="0"/>
        <v>* dateTime 0..1 dateTime ##34#A.1.6.4 Authentication date and time##34# ##334#Date and time when the document was authorized.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5" t="s">
        <v>102</v>
      </c>
      <c r="D26" s="96"/>
      <c r="E26" s="96"/>
      <c r="F26" s="97"/>
    </row>
    <row r="27" spans="2:9" ht="384.75" customHeight="1" thickBot="1" x14ac:dyDescent="0.9">
      <c r="B27" s="16" t="str">
        <f t="shared" ref="B27:B30" si="2">CONCATENATE(C27," ",D27)</f>
        <v>A.1.6.1 Legal authenticator identifier</v>
      </c>
      <c r="C27" s="75" t="s">
        <v>103</v>
      </c>
      <c r="D27" s="48" t="s">
        <v>104</v>
      </c>
      <c r="E27" s="46" t="s">
        <v>105</v>
      </c>
      <c r="F27" s="52"/>
      <c r="I27" s="17"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s="16" t="str">
        <f t="shared" si="2"/>
        <v>A.1.6.2 Legal authenticator name</v>
      </c>
      <c r="C28" s="75" t="s">
        <v>106</v>
      </c>
      <c r="D28" s="48" t="s">
        <v>107</v>
      </c>
      <c r="E28" s="46" t="s">
        <v>89</v>
      </c>
      <c r="F28" s="52"/>
      <c r="I28" s="17" t="str">
        <f t="shared" si="3"/>
        <v xml:space="preserve">Person name. - Preferred system(s): </v>
      </c>
    </row>
    <row r="29" spans="2:9" ht="112.75" thickBot="1" x14ac:dyDescent="0.9">
      <c r="B29" s="16" t="str">
        <f t="shared" si="2"/>
        <v>A.1.6.3 Legal authenticator organization </v>
      </c>
      <c r="C29" s="75" t="s">
        <v>108</v>
      </c>
      <c r="D29" s="48" t="s">
        <v>109</v>
      </c>
      <c r="E29" s="46" t="s">
        <v>92</v>
      </c>
      <c r="F29" s="52"/>
      <c r="I29" s="17" t="str">
        <f t="shared" si="3"/>
        <v xml:space="preserve">The healthcare provider organization information. - Preferred system(s): </v>
      </c>
    </row>
    <row r="30" spans="2:9" ht="112.75" thickBot="1" x14ac:dyDescent="0.9">
      <c r="B30" s="16" t="str">
        <f t="shared" si="2"/>
        <v>A.1.6.4 Authentication date and time</v>
      </c>
      <c r="C30" s="75" t="s">
        <v>110</v>
      </c>
      <c r="D30" s="48" t="s">
        <v>111</v>
      </c>
      <c r="E30" s="46" t="s">
        <v>112</v>
      </c>
      <c r="F30" s="48" t="s">
        <v>113</v>
      </c>
      <c r="I30" s="17"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24"/>
  <sheetViews>
    <sheetView workbookViewId="0">
      <selection activeCell="B8" sqref="B8"/>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405</v>
      </c>
      <c r="E4" s="36" t="str">
        <f>CONCATENATE("Mapping: ",C4)</f>
        <v>Mapping: eHNLabLegalAuthenticator2Fhir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406</v>
      </c>
      <c r="E6" s="37" t="str">
        <f>CONCATENATE("Title: ##34#",C6,"##34#")</f>
        <v>Title: ##34#eHN Lab LegalAuthenticator model to FHIR R4 Map##34#</v>
      </c>
      <c r="G6" s="17" t="s">
        <v>22</v>
      </c>
      <c r="H6" s="12"/>
      <c r="I6" s="12"/>
      <c r="J6" s="12"/>
      <c r="K6" s="12"/>
      <c r="L6" s="12"/>
      <c r="M6" s="12"/>
      <c r="N6" s="12"/>
      <c r="O6" s="12"/>
    </row>
    <row r="7" spans="1:15" ht="15.5" thickBot="1" x14ac:dyDescent="0.9">
      <c r="B7" s="15" t="s">
        <v>35</v>
      </c>
      <c r="C7" s="13" t="str">
        <f>B9</f>
        <v>LegalAuthenticator</v>
      </c>
      <c r="E7" s="37" t="str">
        <f>CONCATENATE("Source: ",C7)</f>
        <v>Source: LegalAuthenticator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'A1.6 LegalAuth'!B5</f>
        <v>LegalAuthenticator</v>
      </c>
      <c r="C9" s="9" t="s">
        <v>364</v>
      </c>
      <c r="E9" s="5" t="str">
        <f>CONCATENATE("* -&gt; ##34#",C9,"##34#")</f>
        <v>* -&gt; ##34#to be mapped##34#</v>
      </c>
      <c r="H9" s="12"/>
      <c r="I9" s="12"/>
      <c r="J9" s="12"/>
      <c r="K9" s="12"/>
      <c r="L9" s="12"/>
      <c r="M9" s="12"/>
      <c r="N9" s="12"/>
      <c r="O9" s="12"/>
    </row>
    <row r="10" spans="1:15" x14ac:dyDescent="0.75">
      <c r="A10" s="18"/>
      <c r="B10" s="18" t="str">
        <f>'A1.6 LegalAuth'!B8</f>
        <v>identifier</v>
      </c>
      <c r="C10" s="18" t="s">
        <v>364</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'A1.6 LegalAuth'!B9</f>
        <v>name</v>
      </c>
      <c r="C11" s="18" t="s">
        <v>364</v>
      </c>
      <c r="E11" s="19" t="str">
        <f t="shared" si="0"/>
        <v>* name -&gt; ##34#to be mapped##34#</v>
      </c>
      <c r="G11" s="17" t="s">
        <v>26</v>
      </c>
      <c r="H11" s="12"/>
      <c r="I11" s="12"/>
      <c r="J11" s="12"/>
      <c r="K11" s="12"/>
      <c r="L11" s="12"/>
      <c r="M11" s="12"/>
      <c r="N11" s="12"/>
      <c r="O11" s="12"/>
    </row>
    <row r="12" spans="1:15" ht="44.25" x14ac:dyDescent="0.75">
      <c r="A12" s="18"/>
      <c r="B12" s="18" t="str">
        <f>'A1.6 LegalAuth'!B10</f>
        <v>organization</v>
      </c>
      <c r="C12" s="18" t="s">
        <v>364</v>
      </c>
      <c r="E12" s="19" t="str">
        <f t="shared" si="0"/>
        <v>* organization -&gt; ##34#to be mapped##34#</v>
      </c>
      <c r="G12" s="17" t="s">
        <v>27</v>
      </c>
      <c r="H12" s="12"/>
      <c r="I12" s="12"/>
      <c r="J12" s="12"/>
      <c r="K12" s="12"/>
      <c r="L12" s="12"/>
      <c r="M12" s="12"/>
      <c r="N12" s="12"/>
      <c r="O12" s="12"/>
    </row>
    <row r="13" spans="1:15" x14ac:dyDescent="0.75">
      <c r="A13" s="18"/>
      <c r="B13" s="18" t="str">
        <f>'A1.6 LegalAuth'!B11</f>
        <v>dateTime</v>
      </c>
      <c r="C13" s="18" t="s">
        <v>364</v>
      </c>
      <c r="E13" s="19" t="str">
        <f>IF(B13=0,"*  -&gt; ##34###34#",CONCATENATE("* ",B13," -&gt; ##34#",C13,"##34#"))</f>
        <v>* dateTime -&gt; ##34#to be mapped##34#</v>
      </c>
      <c r="G13" s="17" t="s">
        <v>28</v>
      </c>
      <c r="H13" s="12"/>
      <c r="I13" s="12"/>
      <c r="J13" s="12"/>
      <c r="K13" s="12"/>
      <c r="L13" s="12"/>
      <c r="M13" s="12"/>
      <c r="N13" s="12"/>
      <c r="O13" s="12"/>
    </row>
    <row r="14" spans="1:15" x14ac:dyDescent="0.75">
      <c r="A14" s="18"/>
      <c r="B14" s="18">
        <f>'A1.6 LegalAuth'!B12</f>
        <v>0</v>
      </c>
      <c r="C14" s="18"/>
      <c r="E14" s="19" t="str">
        <f>IF(B14=0,"*  -&gt; ##34###34#",CONCATENATE("* ",B14," -&gt; ##34#",C14,"##34#"))</f>
        <v>*  -&gt; ##34###34#</v>
      </c>
      <c r="G14" s="17" t="s">
        <v>29</v>
      </c>
      <c r="H14" s="12"/>
      <c r="I14" s="12"/>
      <c r="J14" s="12"/>
      <c r="K14" s="12"/>
      <c r="L14" s="12"/>
      <c r="M14" s="12"/>
      <c r="N14" s="12"/>
      <c r="O14" s="12"/>
    </row>
    <row r="15" spans="1:15" ht="29.5" x14ac:dyDescent="0.75">
      <c r="A15" s="18"/>
      <c r="B15" s="18">
        <f>'A1.6 LegalAuth'!B13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'A1.6 LegalAuth'!I1</f>
        <v>// -------------------------------------------------------------------------------</v>
      </c>
    </row>
    <row r="2" spans="3:7" ht="16.75" thickBot="1" x14ac:dyDescent="0.9">
      <c r="C2" s="41" t="str">
        <f>'A1.6 LegalAuth'!I2</f>
        <v>//  Logical Model</v>
      </c>
      <c r="G2" s="68" t="s">
        <v>407</v>
      </c>
    </row>
    <row r="3" spans="3:7" x14ac:dyDescent="0.75">
      <c r="C3" s="41" t="str">
        <f>'A1.6 LegalAuth'!I3</f>
        <v>// -------------------------------------------------------------------------------</v>
      </c>
    </row>
    <row r="4" spans="3:7" x14ac:dyDescent="0.75">
      <c r="C4" s="33" t="str">
        <f>'A1.6 LegalAuth'!I4</f>
        <v>Logical: LegalAuthenticatorLabEhn</v>
      </c>
    </row>
    <row r="5" spans="3:7" x14ac:dyDescent="0.75">
      <c r="C5" s="33" t="str">
        <f>'A1.6 LegalAuth'!I5</f>
        <v>Id: LegalAuthenticator</v>
      </c>
    </row>
    <row r="6" spans="3:7" x14ac:dyDescent="0.75">
      <c r="C6" s="33" t="str">
        <f>'A1.6 LegalAuth'!I6</f>
        <v>Title: ##34#Legal authenticator (A.1.6)##34#</v>
      </c>
    </row>
    <row r="7" spans="3:7" x14ac:dyDescent="0.75">
      <c r="C7" s="33" t="str">
        <f>'A1.6 LegalAuth'!I7</f>
        <v>Description:  ##334#A.1.6 Legal authenticator (The person taking responsibility for the medical content of the document)##334#</v>
      </c>
    </row>
    <row r="8" spans="3:7" ht="44.25" x14ac:dyDescent="0.75">
      <c r="C8" s="19"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9" t="str">
        <f>IF('A1.6 LegalAuth'!I9="*  ..  ##34###34# ##334###334#","//--- END",'A1.6 LegalAuth'!I9)</f>
        <v>* name 0..* HumanName ##34#A.1.6.2 Legal authenticator name##34# ##334#Person name. - Preferred system(s): ##334#</v>
      </c>
    </row>
    <row r="10" spans="3:7" ht="29.5" x14ac:dyDescent="0.75">
      <c r="C10" s="19" t="str">
        <f>IF('A1.6 LegalAuth'!I10="*  ..  ##34###34# ##334###334#","//--- END",'A1.6 LegalAuth'!I10)</f>
        <v>* organization 0..* Organization ##34#A.1.6.3 Legal authenticator organization ##34# ##334#The healthcare provider organization information. - Preferred system(s): ##334#</v>
      </c>
      <c r="E10" s="16" t="s">
        <v>312</v>
      </c>
    </row>
    <row r="11" spans="3:7" ht="29.5" x14ac:dyDescent="0.75">
      <c r="C11" s="19" t="str">
        <f>IF('A1.6 LegalAuth'!I11="*  ..  ##34###34# ##334###334#","//--- END",'A1.6 LegalAuth'!I11)</f>
        <v>* dateTime 0..1 dateTime ##34#A.1.6.4 Authentication date and time##34# ##334#Date and time when the document was authorized. - Preferred system(s): ISO 8601##334#</v>
      </c>
    </row>
    <row r="12" spans="3:7" x14ac:dyDescent="0.75">
      <c r="C12" s="19" t="str">
        <f>IF('A1.6 LegalAuth'!I12="*  ..  ##34###34# ##334###334#","//--- END",'A1.6 LegalAuth'!I12)</f>
        <v>//--- END</v>
      </c>
    </row>
    <row r="13" spans="3:7" x14ac:dyDescent="0.75">
      <c r="C13" s="19" t="str">
        <f>IF('A1.6 LegalAuth'!I13="*  ..  ##34###34# ##334###334#","//--- END",'A1.6 LegalAuth'!I13)</f>
        <v>//--- END</v>
      </c>
    </row>
    <row r="14" spans="3:7" x14ac:dyDescent="0.75">
      <c r="C14" s="19" t="str">
        <f>IF('A1.6 LegalAuth'!I14="*  ..  ##34###34# ##334###334#","//--- END",'A1.6 LegalAuth'!I14)</f>
        <v>//--- END</v>
      </c>
    </row>
    <row r="30" spans="3:3" x14ac:dyDescent="0.75">
      <c r="C30" s="40" t="str">
        <f>'LegalAuth-Map-1'!E1</f>
        <v>// -------------------------------------------------------------------------------</v>
      </c>
    </row>
    <row r="31" spans="3:3" x14ac:dyDescent="0.75">
      <c r="C31" s="41" t="str">
        <f>'LegalAuth-Map-1'!E2</f>
        <v>//  Map to FHIR R4</v>
      </c>
    </row>
    <row r="32" spans="3:3" x14ac:dyDescent="0.75">
      <c r="C32" s="41" t="str">
        <f>'LegalAuth-Map-1'!E3</f>
        <v>// -------------------------------------------------------------------------------</v>
      </c>
    </row>
    <row r="33" spans="3:7" x14ac:dyDescent="0.75">
      <c r="C33" s="19" t="str">
        <f>'LegalAuth-Map-1'!E4</f>
        <v>Mapping: eHNLabLegalAuthenticator2Fhir</v>
      </c>
    </row>
    <row r="34" spans="3:7" x14ac:dyDescent="0.75">
      <c r="C34" s="19" t="str">
        <f>'LegalAuth-Map-1'!E5</f>
        <v>Id: fhir</v>
      </c>
    </row>
    <row r="35" spans="3:7" x14ac:dyDescent="0.75">
      <c r="C35" s="19" t="str">
        <f>'LegalAuth-Map-1'!E6</f>
        <v>Title: ##34#eHN Lab LegalAuthenticator model to FHIR R4 Map##34#</v>
      </c>
    </row>
    <row r="36" spans="3:7" x14ac:dyDescent="0.75">
      <c r="C36" s="19" t="str">
        <f>'LegalAuth-Map-1'!E7</f>
        <v>Source: LegalAuthenticator</v>
      </c>
    </row>
    <row r="37" spans="3:7" x14ac:dyDescent="0.75">
      <c r="C37" s="19" t="str">
        <f>'LegalAuth-Map-1'!E8</f>
        <v>Target: ##34#hl7.org/fhir/r4##34#</v>
      </c>
    </row>
    <row r="39" spans="3:7" x14ac:dyDescent="0.75">
      <c r="C39" s="19" t="str">
        <f>'LegalAuth-Map-1'!E9</f>
        <v>* -&gt; ##34#to be mapped##34#</v>
      </c>
    </row>
    <row r="40" spans="3:7" x14ac:dyDescent="0.75">
      <c r="C40" s="19" t="str">
        <f>IF('LegalAuth-Map-1'!E10="*  -&gt; ##34###34#","// --END",'LegalAuth-Map-1'!E10)</f>
        <v>* identifier -&gt; ##34#to be mapped##34#</v>
      </c>
    </row>
    <row r="41" spans="3:7" x14ac:dyDescent="0.75">
      <c r="C41" s="19" t="str">
        <f>IF('LegalAuth-Map-1'!E11="*  -&gt; ##34###34#","// --END",'LegalAuth-Map-1'!E11)</f>
        <v>* name -&gt; ##34#to be mapped##34#</v>
      </c>
    </row>
    <row r="42" spans="3:7" x14ac:dyDescent="0.75">
      <c r="C42" s="19" t="str">
        <f>IF('LegalAuth-Map-1'!E12="*  -&gt; ##34###34#","// --END",'LegalAuth-Map-1'!E12)</f>
        <v>* organization -&gt; ##34#to be mapped##34#</v>
      </c>
    </row>
    <row r="43" spans="3:7" x14ac:dyDescent="0.75">
      <c r="C43" s="19" t="str">
        <f>IF('LegalAuth-Map-1'!E13="*  -&gt; ##34###34#","// --END",'LegalAuth-Map-1'!E13)</f>
        <v>* dateTime -&gt; ##34#to be mapped##34#</v>
      </c>
    </row>
    <row r="44" spans="3:7" x14ac:dyDescent="0.75">
      <c r="C44" s="19" t="str">
        <f>IF('LegalAuth-Map-1'!E14="*  -&gt; ##34###34#","// --END",'LegalAuth-Map-1'!E14)</f>
        <v>// --END</v>
      </c>
    </row>
    <row r="45" spans="3:7" x14ac:dyDescent="0.75">
      <c r="C45" s="19" t="str">
        <f>IF('LegalAuth-Map-1'!E15="*  -&gt; ##34###34#","// --END",'LegalAuth-Map-1'!E15)</f>
        <v>// --END</v>
      </c>
    </row>
    <row r="46" spans="3:7" x14ac:dyDescent="0.75">
      <c r="C46" s="19" t="str">
        <f>IF('LegalAuth-Map-1'!E16="*  -&gt; ##34###34#","// --END",'LegalAuth-Map-1'!E16)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6" sqref="B6"/>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385</v>
      </c>
      <c r="C4" s="21"/>
      <c r="D4" s="3"/>
      <c r="I4" s="33" t="str">
        <f>CONCATENATE("Logical: ",B4)</f>
        <v>Logical: ValidatorLabEhn</v>
      </c>
    </row>
    <row r="5" spans="1:11" x14ac:dyDescent="0.75">
      <c r="A5" s="25" t="s">
        <v>19</v>
      </c>
      <c r="B5" s="43" t="s">
        <v>435</v>
      </c>
      <c r="C5" s="21"/>
      <c r="D5" s="3"/>
      <c r="I5" s="33" t="str">
        <f>CONCATENATE("Id: ",B5)</f>
        <v>Id: Validator</v>
      </c>
    </row>
    <row r="6" spans="1:11" x14ac:dyDescent="0.75">
      <c r="A6" s="27" t="s">
        <v>13</v>
      </c>
      <c r="B6" s="26" t="s">
        <v>114</v>
      </c>
      <c r="C6" s="21"/>
      <c r="D6" s="3"/>
      <c r="I6" s="34" t="str">
        <f>CONCATENATE("Title: ##34#",B6,"##34#")</f>
        <v>Title: ##34#A.1.7 Result validator##34#</v>
      </c>
    </row>
    <row r="7" spans="1:11" ht="44.25" x14ac:dyDescent="0.75">
      <c r="A7" s="56" t="s">
        <v>5</v>
      </c>
      <c r="B7" s="72" t="s">
        <v>114</v>
      </c>
      <c r="C7" s="14"/>
      <c r="D7" s="2"/>
      <c r="E7" s="71"/>
      <c r="F7" s="4" t="s">
        <v>9</v>
      </c>
      <c r="G7" s="4" t="s">
        <v>10</v>
      </c>
      <c r="I7" s="34" t="str">
        <f>CONCATENATE("Description: "," ##334#",B7,"##334#",)</f>
        <v>Description:  ##334#A.1.7 Result validator##334#</v>
      </c>
    </row>
    <row r="8" spans="1:11" ht="74.5" customHeight="1" x14ac:dyDescent="0.75">
      <c r="A8" s="18">
        <v>1</v>
      </c>
      <c r="B8" s="18" t="s">
        <v>378</v>
      </c>
      <c r="C8" s="18" t="s">
        <v>388</v>
      </c>
      <c r="D8" s="19" t="s">
        <v>392</v>
      </c>
      <c r="E8" s="18">
        <v>0</v>
      </c>
      <c r="F8" s="18">
        <v>1</v>
      </c>
      <c r="G8" s="18" t="s">
        <v>0</v>
      </c>
      <c r="H8" s="31"/>
      <c r="I8" s="42"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18">
        <v>2</v>
      </c>
      <c r="B9" s="18" t="s">
        <v>379</v>
      </c>
      <c r="C9" s="18" t="s">
        <v>389</v>
      </c>
      <c r="D9" s="19" t="s">
        <v>393</v>
      </c>
      <c r="E9" s="18">
        <v>0</v>
      </c>
      <c r="F9" s="18" t="s">
        <v>11</v>
      </c>
      <c r="G9" s="18" t="s">
        <v>434</v>
      </c>
      <c r="H9" s="31"/>
      <c r="I9" s="42" t="str">
        <f t="shared" ref="I9:I14" si="0">CONCATENATE("* ",B9, " ",E9,"..",F9," ",G9," ##34#",C9,"##34# ##334#",D9,"##334#")</f>
        <v>* name 0..* HumanName ##34#A.1.7.2 Result validator name##34# ##334#Person name. - Preferred system(s): ##334#</v>
      </c>
    </row>
    <row r="10" spans="1:11" ht="30.25" customHeight="1" x14ac:dyDescent="0.75">
      <c r="A10" s="18">
        <v>3</v>
      </c>
      <c r="B10" s="18" t="s">
        <v>380</v>
      </c>
      <c r="C10" s="18" t="s">
        <v>390</v>
      </c>
      <c r="D10" s="19" t="s">
        <v>394</v>
      </c>
      <c r="E10" s="18">
        <v>0</v>
      </c>
      <c r="F10" s="18" t="s">
        <v>11</v>
      </c>
      <c r="G10" s="18" t="s">
        <v>381</v>
      </c>
      <c r="H10" s="31"/>
      <c r="I10" s="42" t="str">
        <f t="shared" si="0"/>
        <v>* organization 0..* Organization ##34#A.1.7.3 Result validator organisation ##34# ##334#The healthcare provider organisation information. - Preferred system(s): ##334#</v>
      </c>
    </row>
    <row r="11" spans="1:11" ht="45" customHeight="1" x14ac:dyDescent="0.75">
      <c r="A11" s="73">
        <v>4</v>
      </c>
      <c r="B11" s="73" t="s">
        <v>2</v>
      </c>
      <c r="C11" s="16" t="s">
        <v>391</v>
      </c>
      <c r="D11" s="74" t="s">
        <v>395</v>
      </c>
      <c r="E11" s="73">
        <v>0</v>
      </c>
      <c r="F11" s="73">
        <v>1</v>
      </c>
      <c r="G11" s="73" t="s">
        <v>2</v>
      </c>
      <c r="H11" s="31"/>
      <c r="I11" s="42" t="str">
        <f t="shared" si="0"/>
        <v>* dateTime 0..1 dateTime ##34#A.1.7.4 Validation date and time##34# ##334#Date and time when the document was validated.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5" t="s">
        <v>114</v>
      </c>
      <c r="D26" s="96"/>
      <c r="E26" s="96"/>
      <c r="F26" s="97"/>
    </row>
    <row r="27" spans="2:9" ht="384.75" thickBot="1" x14ac:dyDescent="0.9">
      <c r="B27" s="16" t="str">
        <f t="shared" ref="B27:B30" si="2">CONCATENATE(C27," ",D27)</f>
        <v>A.1.7.1 Result validator identifier</v>
      </c>
      <c r="C27" s="70" t="s">
        <v>115</v>
      </c>
      <c r="D27" s="48" t="s">
        <v>116</v>
      </c>
      <c r="E27" s="46" t="s">
        <v>117</v>
      </c>
      <c r="F27" s="52"/>
      <c r="I27" s="17"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s="16" t="str">
        <f t="shared" si="2"/>
        <v>A.1.7.2 Result validator name</v>
      </c>
      <c r="C28" s="70" t="s">
        <v>118</v>
      </c>
      <c r="D28" s="48" t="s">
        <v>119</v>
      </c>
      <c r="E28" s="46" t="s">
        <v>89</v>
      </c>
      <c r="F28" s="52"/>
      <c r="I28" s="17" t="str">
        <f t="shared" si="3"/>
        <v xml:space="preserve">Person name. - Preferred system(s): </v>
      </c>
    </row>
    <row r="29" spans="2:9" ht="112.75" thickBot="1" x14ac:dyDescent="0.9">
      <c r="B29" s="16" t="str">
        <f t="shared" si="2"/>
        <v>A.1.7.3 Result validator organisation </v>
      </c>
      <c r="C29" s="70" t="s">
        <v>120</v>
      </c>
      <c r="D29" s="48" t="s">
        <v>121</v>
      </c>
      <c r="E29" s="46" t="s">
        <v>122</v>
      </c>
      <c r="F29" s="52"/>
      <c r="I29" s="17" t="str">
        <f t="shared" si="3"/>
        <v xml:space="preserve">The healthcare provider organisation information. - Preferred system(s): </v>
      </c>
    </row>
    <row r="30" spans="2:9" ht="96.75" thickBot="1" x14ac:dyDescent="0.9">
      <c r="B30" s="16" t="str">
        <f t="shared" si="2"/>
        <v>A.1.7.4 Validation date and time</v>
      </c>
      <c r="C30" s="70" t="s">
        <v>123</v>
      </c>
      <c r="D30" s="48" t="s">
        <v>124</v>
      </c>
      <c r="E30" s="46" t="s">
        <v>125</v>
      </c>
      <c r="F30" s="48" t="s">
        <v>113</v>
      </c>
      <c r="I30" s="17"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386</v>
      </c>
      <c r="E4" s="36" t="str">
        <f>CONCATENATE("Mapping: ",C4)</f>
        <v>Mapping: eHNLabValidator2Fhir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387</v>
      </c>
      <c r="E6" s="37" t="str">
        <f>CONCATENATE("Title: ##34#",C6,"##34#")</f>
        <v>Title: ##34#eHN Lab Validator model to FHIR R4 Map##34#</v>
      </c>
      <c r="G6" s="17" t="s">
        <v>22</v>
      </c>
      <c r="H6" s="12"/>
      <c r="I6" s="12"/>
      <c r="J6" s="12"/>
      <c r="K6" s="12"/>
      <c r="L6" s="12"/>
      <c r="M6" s="12"/>
      <c r="N6" s="12"/>
      <c r="O6" s="12"/>
    </row>
    <row r="7" spans="1:15" ht="15.5" thickBot="1" x14ac:dyDescent="0.9">
      <c r="B7" s="15" t="s">
        <v>35</v>
      </c>
      <c r="C7" s="13" t="str">
        <f>B9</f>
        <v>Validator</v>
      </c>
      <c r="E7" s="37" t="str">
        <f>CONCATENATE("Source: ",C7)</f>
        <v>Source: Validator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'A1.7 Validator'!B5</f>
        <v>Validator</v>
      </c>
      <c r="C9" s="9" t="s">
        <v>364</v>
      </c>
      <c r="E9" s="5" t="str">
        <f>CONCATENATE("* -&gt; ##34#",C9,"##34#")</f>
        <v>* -&gt; ##34#to be mapped##34#</v>
      </c>
      <c r="H9" s="12"/>
      <c r="I9" s="12"/>
      <c r="J9" s="12"/>
      <c r="K9" s="12"/>
      <c r="L9" s="12"/>
      <c r="M9" s="12"/>
      <c r="N9" s="12"/>
      <c r="O9" s="12"/>
    </row>
    <row r="10" spans="1:15" x14ac:dyDescent="0.75">
      <c r="A10" s="18"/>
      <c r="B10" s="18" t="str">
        <f>'A1.7 Validator'!B8</f>
        <v>identifier</v>
      </c>
      <c r="C10" s="18" t="s">
        <v>364</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'A1.7 Validator'!B9</f>
        <v>name</v>
      </c>
      <c r="C11" s="18" t="s">
        <v>364</v>
      </c>
      <c r="E11" s="19" t="str">
        <f t="shared" si="0"/>
        <v>* name -&gt; ##34#to be mapped##34#</v>
      </c>
      <c r="G11" s="17" t="s">
        <v>26</v>
      </c>
      <c r="H11" s="12"/>
      <c r="I11" s="12"/>
      <c r="J11" s="12"/>
      <c r="K11" s="12"/>
      <c r="L11" s="12"/>
      <c r="M11" s="12"/>
      <c r="N11" s="12"/>
      <c r="O11" s="12"/>
    </row>
    <row r="12" spans="1:15" ht="44.25" x14ac:dyDescent="0.75">
      <c r="A12" s="18"/>
      <c r="B12" s="18" t="str">
        <f>'A1.7 Validator'!B10</f>
        <v>organization</v>
      </c>
      <c r="C12" s="18" t="s">
        <v>364</v>
      </c>
      <c r="E12" s="19" t="str">
        <f t="shared" si="0"/>
        <v>* organization -&gt; ##34#to be mapped##34#</v>
      </c>
      <c r="G12" s="17" t="s">
        <v>27</v>
      </c>
      <c r="H12" s="12"/>
      <c r="I12" s="12"/>
      <c r="J12" s="12"/>
      <c r="K12" s="12"/>
      <c r="L12" s="12"/>
      <c r="M12" s="12"/>
      <c r="N12" s="12"/>
      <c r="O12" s="12"/>
    </row>
    <row r="13" spans="1:15" x14ac:dyDescent="0.75">
      <c r="A13" s="18"/>
      <c r="B13" s="18" t="str">
        <f>'A1.7 Validator'!B11</f>
        <v>dateTime</v>
      </c>
      <c r="C13" s="18" t="s">
        <v>364</v>
      </c>
      <c r="E13" s="19" t="str">
        <f>IF(B13=0,"*  -&gt; ##34###34#",CONCATENATE("* ",B13," -&gt; ##34#",C13,"##34#"))</f>
        <v>* dateTime -&gt; ##34#to be mapped##34#</v>
      </c>
      <c r="G13" s="17" t="s">
        <v>28</v>
      </c>
      <c r="H13" s="12"/>
      <c r="I13" s="12"/>
      <c r="J13" s="12"/>
      <c r="K13" s="12"/>
      <c r="L13" s="12"/>
      <c r="M13" s="12"/>
      <c r="N13" s="12"/>
      <c r="O13" s="12"/>
    </row>
    <row r="14" spans="1:15" x14ac:dyDescent="0.75">
      <c r="A14" s="18"/>
      <c r="B14" s="18">
        <f>'A1.7 Validator'!B12</f>
        <v>0</v>
      </c>
      <c r="C14" s="18"/>
      <c r="E14" s="19" t="str">
        <f>IF(B14=0,"*  -&gt; ##34###34#",CONCATENATE("* ",B14," -&gt; ##34#",C14,"##34#"))</f>
        <v>*  -&gt; ##34###34#</v>
      </c>
      <c r="G14" s="17" t="s">
        <v>29</v>
      </c>
      <c r="H14" s="12"/>
      <c r="I14" s="12"/>
      <c r="J14" s="12"/>
      <c r="K14" s="12"/>
      <c r="L14" s="12"/>
      <c r="M14" s="12"/>
      <c r="N14" s="12"/>
      <c r="O14" s="12"/>
    </row>
    <row r="15" spans="1:15" ht="29.5" x14ac:dyDescent="0.75">
      <c r="A15" s="18"/>
      <c r="B15" s="18">
        <f>'A1.7 Validator'!B13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'A1.7 Validator'!I1</f>
        <v>// -------------------------------------------------------------------------------</v>
      </c>
    </row>
    <row r="2" spans="3:7" ht="16.75" thickBot="1" x14ac:dyDescent="0.9">
      <c r="C2" s="41" t="str">
        <f>'A1.7 Validator'!I2</f>
        <v>//  Logical Model</v>
      </c>
      <c r="G2" s="68" t="s">
        <v>396</v>
      </c>
    </row>
    <row r="3" spans="3:7" x14ac:dyDescent="0.75">
      <c r="C3" s="41" t="str">
        <f>'A1.7 Validator'!I3</f>
        <v>// -------------------------------------------------------------------------------</v>
      </c>
    </row>
    <row r="4" spans="3:7" x14ac:dyDescent="0.75">
      <c r="C4" s="33" t="str">
        <f>'A1.7 Validator'!I4</f>
        <v>Logical: ValidatorLabEhn</v>
      </c>
    </row>
    <row r="5" spans="3:7" x14ac:dyDescent="0.75">
      <c r="C5" s="33" t="str">
        <f>'A1.7 Validator'!I5</f>
        <v>Id: Validator</v>
      </c>
    </row>
    <row r="6" spans="3:7" x14ac:dyDescent="0.75">
      <c r="C6" s="33" t="str">
        <f>'A1.7 Validator'!I6</f>
        <v>Title: ##34#A.1.7 Result validator##34#</v>
      </c>
    </row>
    <row r="7" spans="3:7" ht="29.5" x14ac:dyDescent="0.75">
      <c r="C7" s="33" t="str">
        <f>'A1.7 Validator'!I7</f>
        <v>Description:  ##334#A.1.7 Result validator##334#</v>
      </c>
    </row>
    <row r="8" spans="3:7" ht="44.25" x14ac:dyDescent="0.75">
      <c r="C8" s="19"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9" t="str">
        <f>IF('A1.7 Validator'!I9="*  ..  ##34###34# ##334###334#","//--- END",'A1.7 Validator'!I9)</f>
        <v>* name 0..* HumanName ##34#A.1.7.2 Result validator name##34# ##334#Person name. - Preferred system(s): ##334#</v>
      </c>
    </row>
    <row r="10" spans="3:7" ht="29.5" x14ac:dyDescent="0.75">
      <c r="C10" s="19" t="str">
        <f>IF('A1.7 Validator'!I10="*  ..  ##34###34# ##334###334#","//--- END",'A1.7 Validator'!I10)</f>
        <v>* organization 0..* Organization ##34#A.1.7.3 Result validator organisation ##34# ##334#The healthcare provider organisation information. - Preferred system(s): ##334#</v>
      </c>
      <c r="E10" s="16" t="s">
        <v>312</v>
      </c>
    </row>
    <row r="11" spans="3:7" x14ac:dyDescent="0.75">
      <c r="C11" s="19" t="str">
        <f>IF('A1.7 Validator'!I11="*  ..  ##34###34# ##334###334#","//--- END",'A1.7 Validator'!I11)</f>
        <v>* dateTime 0..1 dateTime ##34#A.1.7.4 Validation date and time##34# ##334#Date and time when the document was validated. - Preferred system(s): ISO 8601##334#</v>
      </c>
    </row>
    <row r="12" spans="3:7" x14ac:dyDescent="0.75">
      <c r="C12" s="19" t="str">
        <f>IF('A1.7 Validator'!I12="*  ..  ##34###34# ##334###334#","//--- END",'A1.7 Validator'!I12)</f>
        <v>//--- END</v>
      </c>
    </row>
    <row r="13" spans="3:7" x14ac:dyDescent="0.75">
      <c r="C13" s="19" t="str">
        <f>IF('A1.7 Validator'!I13="*  ..  ##34###34# ##334###334#","//--- END",'A1.7 Validator'!I13)</f>
        <v>//--- END</v>
      </c>
    </row>
    <row r="14" spans="3:7" x14ac:dyDescent="0.75">
      <c r="C14" s="19" t="str">
        <f>IF('A1.7 Validator'!I14="*  ..  ##34###34# ##334###334#","//--- END",'A1.7 Validator'!I14)</f>
        <v>//--- END</v>
      </c>
    </row>
    <row r="30" spans="3:3" x14ac:dyDescent="0.75">
      <c r="C30" s="40" t="str">
        <f>'Validator-Map-1'!E1</f>
        <v>// -------------------------------------------------------------------------------</v>
      </c>
    </row>
    <row r="31" spans="3:3" x14ac:dyDescent="0.75">
      <c r="C31" s="41" t="str">
        <f>'Validator-Map-1'!E2</f>
        <v>//  Map to FHIR R4</v>
      </c>
    </row>
    <row r="32" spans="3:3" x14ac:dyDescent="0.75">
      <c r="C32" s="41" t="str">
        <f>'Validator-Map-1'!E3</f>
        <v>// -------------------------------------------------------------------------------</v>
      </c>
    </row>
    <row r="33" spans="3:7" x14ac:dyDescent="0.75">
      <c r="C33" s="19" t="str">
        <f>'Validator-Map-1'!E4</f>
        <v>Mapping: eHNLabValidator2Fhir</v>
      </c>
    </row>
    <row r="34" spans="3:7" x14ac:dyDescent="0.75">
      <c r="C34" s="19" t="str">
        <f>'Validator-Map-1'!E5</f>
        <v>Id: fhir</v>
      </c>
    </row>
    <row r="35" spans="3:7" x14ac:dyDescent="0.75">
      <c r="C35" s="19" t="str">
        <f>'Validator-Map-1'!E6</f>
        <v>Title: ##34#eHN Lab Validator model to FHIR R4 Map##34#</v>
      </c>
    </row>
    <row r="36" spans="3:7" x14ac:dyDescent="0.75">
      <c r="C36" s="19" t="str">
        <f>'Validator-Map-1'!E7</f>
        <v>Source: Validator</v>
      </c>
    </row>
    <row r="37" spans="3:7" x14ac:dyDescent="0.75">
      <c r="C37" s="19" t="str">
        <f>'Validator-Map-1'!E8</f>
        <v>Target: ##34#hl7.org/fhir/r4##34#</v>
      </c>
    </row>
    <row r="39" spans="3:7" x14ac:dyDescent="0.75">
      <c r="C39" s="19" t="str">
        <f>'Validator-Map-1'!E9</f>
        <v>* -&gt; ##34#to be mapped##34#</v>
      </c>
    </row>
    <row r="40" spans="3:7" x14ac:dyDescent="0.75">
      <c r="C40" s="19" t="str">
        <f>IF('Validator-Map-1'!E10="*  -&gt; ##34###34#","// --END",'Validator-Map-1'!E10)</f>
        <v>* identifier -&gt; ##34#to be mapped##34#</v>
      </c>
    </row>
    <row r="41" spans="3:7" x14ac:dyDescent="0.75">
      <c r="C41" s="19" t="str">
        <f>IF('Validator-Map-1'!E11="*  -&gt; ##34###34#","// --END",'Validator-Map-1'!E11)</f>
        <v>* name -&gt; ##34#to be mapped##34#</v>
      </c>
    </row>
    <row r="42" spans="3:7" x14ac:dyDescent="0.75">
      <c r="C42" s="19" t="str">
        <f>IF('Validator-Map-1'!E12="*  -&gt; ##34###34#","// --END",'Validator-Map-1'!E12)</f>
        <v>* organization -&gt; ##34#to be mapped##34#</v>
      </c>
    </row>
    <row r="43" spans="3:7" x14ac:dyDescent="0.75">
      <c r="C43" s="19" t="str">
        <f>IF('Validator-Map-1'!E13="*  -&gt; ##34###34#","// --END",'Validator-Map-1'!E13)</f>
        <v>* dateTime -&gt; ##34#to be mapped##34#</v>
      </c>
    </row>
    <row r="44" spans="3:7" x14ac:dyDescent="0.75">
      <c r="C44" s="19" t="str">
        <f>IF('Validator-Map-1'!E14="*  -&gt; ##34###34#","// --END",'Validator-Map-1'!E14)</f>
        <v>// --END</v>
      </c>
    </row>
    <row r="45" spans="3:7" x14ac:dyDescent="0.75">
      <c r="C45" s="19" t="str">
        <f>IF('Validator-Map-1'!E15="*  -&gt; ##34###34#","// --END",'Validator-Map-1'!E15)</f>
        <v>// --END</v>
      </c>
    </row>
    <row r="46" spans="3:7" x14ac:dyDescent="0.75">
      <c r="C46" s="19" t="str">
        <f>IF('Validator-Map-1'!E16="*  -&gt; ##34###34#","// --END",'Validator-Map-1'!E16)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7668D-01A6-4298-8187-0835CA48ACDE}">
  <dimension ref="A1"/>
  <sheetViews>
    <sheetView workbookViewId="0"/>
  </sheetViews>
  <sheetFormatPr defaultRowHeight="14.75" x14ac:dyDescent="0.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445</v>
      </c>
      <c r="C4" s="21"/>
      <c r="D4" s="3"/>
      <c r="I4" s="33" t="str">
        <f>CONCATENATE("Logical: ",B4)</f>
        <v>Logical: OrderLabEhn</v>
      </c>
    </row>
    <row r="5" spans="1:11" x14ac:dyDescent="0.75">
      <c r="A5" s="25" t="s">
        <v>19</v>
      </c>
      <c r="B5" s="43" t="s">
        <v>230</v>
      </c>
      <c r="C5" s="21"/>
      <c r="D5" s="3"/>
      <c r="I5" s="33" t="str">
        <f>CONCATENATE("Id: ",B5)</f>
        <v>Id: Order</v>
      </c>
    </row>
    <row r="6" spans="1:11" x14ac:dyDescent="0.75">
      <c r="A6" s="27" t="s">
        <v>13</v>
      </c>
      <c r="B6" s="26" t="s">
        <v>448</v>
      </c>
      <c r="C6" s="21"/>
      <c r="D6" s="3"/>
      <c r="I6" s="34" t="str">
        <f>CONCATENATE("Title: ##34#",B6,"##34#")</f>
        <v>Title: ##34#Order (A2, A3)##34#</v>
      </c>
    </row>
    <row r="7" spans="1:11" x14ac:dyDescent="0.75">
      <c r="A7" s="56" t="s">
        <v>5</v>
      </c>
      <c r="B7" s="26" t="s">
        <v>449</v>
      </c>
      <c r="C7" s="14"/>
      <c r="D7" s="2"/>
      <c r="E7" s="71"/>
      <c r="F7" s="4" t="s">
        <v>9</v>
      </c>
      <c r="G7" s="4" t="s">
        <v>10</v>
      </c>
      <c r="I7" s="34" t="str">
        <f>CONCATENATE("Description: "," ##334#",B7,"##334#",)</f>
        <v>Description:  ##334#Order information (A.2) and reason (A3)##334#</v>
      </c>
    </row>
    <row r="8" spans="1:11" ht="44.25" x14ac:dyDescent="0.75">
      <c r="A8" s="18">
        <v>1</v>
      </c>
      <c r="B8" s="18" t="s">
        <v>461</v>
      </c>
      <c r="C8" s="19" t="s">
        <v>452</v>
      </c>
      <c r="D8" s="19" t="s">
        <v>436</v>
      </c>
      <c r="E8" s="18">
        <v>0</v>
      </c>
      <c r="F8" s="18">
        <v>1</v>
      </c>
      <c r="G8" s="18" t="s">
        <v>4</v>
      </c>
      <c r="H8" s="31"/>
      <c r="I8" s="42" t="str">
        <f>CONCATENATE("* ",B8, " ",E8,"..",F8," ",G8," ##34#",C8,"##34# ##334#",D8,"##334#")</f>
        <v>* orderDetails 0..1 BackboneElement ##34#A.2 Order information##34# ##334#A.2 Order information (Laboratory Result Report could respond to multiple test orders) ##334#</v>
      </c>
    </row>
    <row r="9" spans="1:11" ht="32.75" thickBot="1" x14ac:dyDescent="0.9">
      <c r="A9" s="18">
        <v>2</v>
      </c>
      <c r="B9" s="18" t="s">
        <v>462</v>
      </c>
      <c r="C9" s="19" t="s">
        <v>437</v>
      </c>
      <c r="D9" s="46" t="s">
        <v>147</v>
      </c>
      <c r="E9" s="18">
        <v>0</v>
      </c>
      <c r="F9" s="18" t="s">
        <v>11</v>
      </c>
      <c r="G9" s="18" t="s">
        <v>0</v>
      </c>
      <c r="H9" s="31"/>
      <c r="I9" s="42" t="str">
        <f t="shared" ref="I9:I19" si="0">CONCATENATE("* ",B9, " ",E9,"..",F9," ",G9," ##34#",C9,"##34# ##334#",D9,"##334#")</f>
        <v>* orderDetails.identifier 0..* Identifier ##34#A.2.1 Order Id##34# ##334#An identifier of the laboratory test order. Laboratory Result Report may respond to multiple orders.##334#</v>
      </c>
    </row>
    <row r="10" spans="1:11" ht="29.5" x14ac:dyDescent="0.75">
      <c r="A10" s="18">
        <v>3</v>
      </c>
      <c r="B10" s="18" t="s">
        <v>463</v>
      </c>
      <c r="C10" s="19" t="s">
        <v>438</v>
      </c>
      <c r="D10" s="19" t="s">
        <v>450</v>
      </c>
      <c r="E10" s="18">
        <v>0</v>
      </c>
      <c r="F10" s="18" t="s">
        <v>11</v>
      </c>
      <c r="G10" s="73" t="s">
        <v>2</v>
      </c>
      <c r="H10" s="31"/>
      <c r="I10" s="42" t="str">
        <f t="shared" si="0"/>
        <v>* orderDetails.dateTime 0..* dateTime ##34#A.2.2 Order date and time##34# ##334#Date and time of the order placement. - Preferred system(s): ISO 8601##334#</v>
      </c>
    </row>
    <row r="11" spans="1:11" ht="88.5" x14ac:dyDescent="0.75">
      <c r="A11" s="73">
        <v>4</v>
      </c>
      <c r="B11" s="18" t="s">
        <v>464</v>
      </c>
      <c r="C11" s="17" t="s">
        <v>439</v>
      </c>
      <c r="D11" s="74" t="s">
        <v>153</v>
      </c>
      <c r="E11" s="73">
        <v>0</v>
      </c>
      <c r="F11" s="73" t="s">
        <v>11</v>
      </c>
      <c r="G11" s="18" t="s">
        <v>0</v>
      </c>
      <c r="H11" s="31"/>
      <c r="I11" s="42"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x14ac:dyDescent="0.75">
      <c r="A12" s="18">
        <v>5</v>
      </c>
      <c r="B12" s="18" t="s">
        <v>465</v>
      </c>
      <c r="C12" s="19" t="s">
        <v>440</v>
      </c>
      <c r="D12" s="19" t="s">
        <v>89</v>
      </c>
      <c r="E12" s="73">
        <v>0</v>
      </c>
      <c r="F12" s="73" t="s">
        <v>11</v>
      </c>
      <c r="G12" s="18" t="s">
        <v>434</v>
      </c>
      <c r="H12" s="31"/>
      <c r="I12" s="42" t="str">
        <f t="shared" si="0"/>
        <v>* orderDetails.orderPlacerName 0..* HumanName ##34#A.2.4 Order placer name##34# ##334#Person name.##334#</v>
      </c>
    </row>
    <row r="13" spans="1:11" ht="29.5" x14ac:dyDescent="0.75">
      <c r="A13" s="18">
        <v>6</v>
      </c>
      <c r="B13" s="18" t="s">
        <v>466</v>
      </c>
      <c r="C13" s="62" t="s">
        <v>441</v>
      </c>
      <c r="D13" s="19" t="s">
        <v>158</v>
      </c>
      <c r="E13" s="73">
        <v>0</v>
      </c>
      <c r="F13" s="73" t="s">
        <v>11</v>
      </c>
      <c r="G13" s="18" t="s">
        <v>4</v>
      </c>
      <c r="H13" s="31"/>
      <c r="I13" s="42" t="str">
        <f t="shared" si="0"/>
        <v>* orderDetails.orderPlacerContacts 0..* BackboneElement ##34#A.2.5 Order placer contact details##34# ##334#Contact details of order placer (address and telecom details).##334#</v>
      </c>
    </row>
    <row r="14" spans="1:11" ht="44.25" x14ac:dyDescent="0.75">
      <c r="A14" s="18">
        <v>7</v>
      </c>
      <c r="B14" s="18" t="s">
        <v>467</v>
      </c>
      <c r="C14" s="62" t="s">
        <v>442</v>
      </c>
      <c r="D14" s="62" t="s">
        <v>161</v>
      </c>
      <c r="E14" s="73">
        <v>0</v>
      </c>
      <c r="F14" s="73" t="s">
        <v>11</v>
      </c>
      <c r="G14" s="18" t="s">
        <v>381</v>
      </c>
      <c r="H14" s="31"/>
      <c r="I14" s="42" t="str">
        <f t="shared" si="0"/>
        <v>* orderDetails.orderPlacerOrganization 0..* Organization ##34#A.2.6 Order placer organization ##34# ##334#Order placer organization information.##334#</v>
      </c>
    </row>
    <row r="15" spans="1:11" ht="44.25" x14ac:dyDescent="0.75">
      <c r="A15" s="18">
        <v>8</v>
      </c>
      <c r="B15" s="18" t="s">
        <v>458</v>
      </c>
      <c r="C15" s="19" t="s">
        <v>451</v>
      </c>
      <c r="D15" s="19" t="s">
        <v>443</v>
      </c>
      <c r="E15" s="18">
        <v>0</v>
      </c>
      <c r="F15" s="18" t="s">
        <v>11</v>
      </c>
      <c r="G15" s="18" t="s">
        <v>4</v>
      </c>
      <c r="H15" s="31"/>
      <c r="I15" s="42" t="str">
        <f t="shared" si="0"/>
        <v>* reason 0..* BackboneElement ##34#A.3 Order reason##34# ##334#A.3 Order reason (Laboratory Result Report could respond to multiple reasons) ##334#</v>
      </c>
      <c r="J15" s="23"/>
      <c r="K15" s="18"/>
    </row>
    <row r="16" spans="1:11" ht="88.5" x14ac:dyDescent="0.75">
      <c r="A16" s="18">
        <v>9</v>
      </c>
      <c r="B16" s="18" t="s">
        <v>459</v>
      </c>
      <c r="C16" s="19" t="s">
        <v>444</v>
      </c>
      <c r="D16" s="19" t="s">
        <v>460</v>
      </c>
      <c r="E16" s="18">
        <v>0</v>
      </c>
      <c r="F16" s="18" t="s">
        <v>11</v>
      </c>
      <c r="G16" s="63" t="s">
        <v>1</v>
      </c>
      <c r="H16" s="18"/>
      <c r="I16" s="42"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42" t="str">
        <f t="shared" si="0"/>
        <v>*  ..  ##34###34# ##334###334#</v>
      </c>
    </row>
    <row r="18" spans="2:9" ht="15.5" customHeight="1" x14ac:dyDescent="0.75">
      <c r="I18" s="42" t="str">
        <f t="shared" si="0"/>
        <v>*  ..  ##34###34# ##334###334#</v>
      </c>
    </row>
    <row r="19" spans="2:9" ht="44.25" x14ac:dyDescent="0.75">
      <c r="I19" s="42" t="str">
        <f t="shared" si="0"/>
        <v>*  ..  ##34###34# ##334###334#</v>
      </c>
    </row>
    <row r="20" spans="2:9" x14ac:dyDescent="0.75">
      <c r="I20" s="42"/>
    </row>
    <row r="21" spans="2:9" x14ac:dyDescent="0.75">
      <c r="I21" s="16"/>
    </row>
    <row r="25" spans="2:9" ht="15.5" thickBot="1" x14ac:dyDescent="0.9"/>
    <row r="26" spans="2:9" ht="15.5" thickBot="1" x14ac:dyDescent="0.9">
      <c r="B26" s="16" t="str">
        <f t="shared" ref="B26:B34" si="1">CONCATENATE(C26," ",D26)</f>
        <v xml:space="preserve">A.2 Order information (Laboratory Result Report could respond to multiple test orders) </v>
      </c>
      <c r="C26" s="98" t="s">
        <v>144</v>
      </c>
      <c r="D26" s="99"/>
      <c r="E26" s="99"/>
      <c r="F26" s="100"/>
    </row>
    <row r="27" spans="2:9" ht="64.75" thickBot="1" x14ac:dyDescent="0.9">
      <c r="B27" s="16" t="str">
        <f t="shared" si="1"/>
        <v>A.2.1 Order Id</v>
      </c>
      <c r="C27" s="79" t="s">
        <v>145</v>
      </c>
      <c r="D27" s="48" t="s">
        <v>146</v>
      </c>
      <c r="E27" s="46" t="s">
        <v>147</v>
      </c>
      <c r="F27" s="52"/>
      <c r="I27" s="17" t="str">
        <f t="shared" ref="I27:I36" si="2">CONCATENATE(E27," - Preferred system(s): ",F27)</f>
        <v xml:space="preserve">An identifier of the laboratory test order. Laboratory Result Report may respond to multiple orders. - Preferred system(s): </v>
      </c>
    </row>
    <row r="28" spans="2:9" ht="32.75" thickBot="1" x14ac:dyDescent="0.9">
      <c r="B28" s="16" t="str">
        <f t="shared" si="1"/>
        <v>A.2.2 Order date and time</v>
      </c>
      <c r="C28" s="79" t="s">
        <v>148</v>
      </c>
      <c r="D28" s="48" t="s">
        <v>149</v>
      </c>
      <c r="E28" s="46" t="s">
        <v>150</v>
      </c>
      <c r="F28" s="48" t="s">
        <v>113</v>
      </c>
      <c r="I28" s="17" t="str">
        <f t="shared" si="2"/>
        <v>Date and time of the order placement. - Preferred system(s): ISO 8601</v>
      </c>
    </row>
    <row r="29" spans="2:9" ht="192.75" thickBot="1" x14ac:dyDescent="0.9">
      <c r="B29" s="16" t="str">
        <f t="shared" si="1"/>
        <v>A.2.3 Order placer identifier</v>
      </c>
      <c r="C29" s="79" t="s">
        <v>151</v>
      </c>
      <c r="D29" s="48" t="s">
        <v>152</v>
      </c>
      <c r="E29" s="46" t="s">
        <v>153</v>
      </c>
      <c r="F29" s="52"/>
      <c r="I29" s="17"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s="16" t="str">
        <f t="shared" si="1"/>
        <v>A.2.4 Order placer name</v>
      </c>
      <c r="C30" s="79" t="s">
        <v>154</v>
      </c>
      <c r="D30" s="48" t="s">
        <v>155</v>
      </c>
      <c r="E30" s="46" t="s">
        <v>89</v>
      </c>
      <c r="F30" s="52"/>
      <c r="I30" s="17" t="str">
        <f t="shared" si="2"/>
        <v xml:space="preserve">Person name. - Preferred system(s): </v>
      </c>
    </row>
    <row r="31" spans="2:9" ht="32.75" thickBot="1" x14ac:dyDescent="0.9">
      <c r="B31" s="16" t="str">
        <f t="shared" si="1"/>
        <v>A.2.5 Order placer contact details</v>
      </c>
      <c r="C31" s="79" t="s">
        <v>156</v>
      </c>
      <c r="D31" s="48" t="s">
        <v>157</v>
      </c>
      <c r="E31" s="46" t="s">
        <v>158</v>
      </c>
      <c r="F31" s="47"/>
      <c r="I31" s="17" t="str">
        <f t="shared" si="2"/>
        <v xml:space="preserve">Contact details of order placer (address and telecom details). - Preferred system(s): </v>
      </c>
    </row>
    <row r="32" spans="2:9" ht="32.75" thickBot="1" x14ac:dyDescent="0.9">
      <c r="B32" s="16" t="str">
        <f t="shared" si="1"/>
        <v>A.2.6 Order placer organization </v>
      </c>
      <c r="C32" s="79" t="s">
        <v>159</v>
      </c>
      <c r="D32" s="48" t="s">
        <v>160</v>
      </c>
      <c r="E32" s="46" t="s">
        <v>161</v>
      </c>
      <c r="F32" s="52"/>
      <c r="I32" s="17" t="str">
        <f t="shared" si="2"/>
        <v xml:space="preserve">Order placer organization information. - Preferred system(s): </v>
      </c>
    </row>
    <row r="33" spans="2:9" ht="15.5" thickBot="1" x14ac:dyDescent="0.9">
      <c r="B33" s="16" t="str">
        <f t="shared" si="1"/>
        <v xml:space="preserve">A.3 Order reason (Laboratory Result Report could respond to multiple reasons) </v>
      </c>
      <c r="C33" s="101" t="s">
        <v>162</v>
      </c>
      <c r="D33" s="102"/>
      <c r="E33" s="102"/>
      <c r="F33" s="103"/>
    </row>
    <row r="34" spans="2:9" ht="80" x14ac:dyDescent="0.75">
      <c r="B34" s="16" t="str">
        <f t="shared" si="1"/>
        <v>A.3.1 Problem / diagnosis / condition description</v>
      </c>
      <c r="C34" s="89" t="s">
        <v>163</v>
      </c>
      <c r="D34" s="89" t="s">
        <v>164</v>
      </c>
      <c r="E34" s="89" t="s">
        <v>165</v>
      </c>
      <c r="F34" s="53" t="s">
        <v>166</v>
      </c>
      <c r="I34" s="17"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0"/>
      <c r="D35" s="90"/>
      <c r="E35" s="90"/>
      <c r="F35" s="53" t="s">
        <v>167</v>
      </c>
      <c r="I35" s="17" t="str">
        <f t="shared" si="2"/>
        <v xml:space="preserve"> - Preferred system(s): SNOMED CT</v>
      </c>
    </row>
    <row r="36" spans="2:9" ht="32.75" thickBot="1" x14ac:dyDescent="0.9">
      <c r="C36" s="91"/>
      <c r="D36" s="91"/>
      <c r="E36" s="91"/>
      <c r="F36" s="48" t="s">
        <v>168</v>
      </c>
      <c r="I36" s="17" t="str">
        <f t="shared" si="2"/>
        <v xml:space="preserve"> - Preferred system(s): Orphacode</v>
      </c>
    </row>
    <row r="39" spans="2:9" ht="59" x14ac:dyDescent="0.75">
      <c r="D39" s="17" t="s">
        <v>453</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4"/>
  <sheetViews>
    <sheetView workbookViewId="0"/>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446</v>
      </c>
      <c r="E4" s="36" t="str">
        <f>CONCATENATE("Mapping: ",C4)</f>
        <v>Mapping: eHNLabOrder2Fhir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447</v>
      </c>
      <c r="E6" s="37" t="str">
        <f>CONCATENATE("Title: ##34#",C6,"##34#")</f>
        <v>Title: ##34#eHN Lab Order model to FHIR R4 Map##34#</v>
      </c>
      <c r="G6" s="17" t="s">
        <v>22</v>
      </c>
      <c r="H6" s="12"/>
      <c r="I6" s="12"/>
      <c r="J6" s="12"/>
      <c r="K6" s="12"/>
      <c r="L6" s="12"/>
      <c r="M6" s="12"/>
      <c r="N6" s="12"/>
      <c r="O6" s="12"/>
    </row>
    <row r="7" spans="1:15" ht="15.5" thickBot="1" x14ac:dyDescent="0.9">
      <c r="B7" s="15" t="s">
        <v>35</v>
      </c>
      <c r="C7" s="13" t="str">
        <f>B9</f>
        <v>Order</v>
      </c>
      <c r="E7" s="37" t="str">
        <f>CONCATENATE("Source: ",C7)</f>
        <v>Source: Order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Order!B5</f>
        <v>Order</v>
      </c>
      <c r="C9" s="9" t="s">
        <v>364</v>
      </c>
      <c r="E9" s="5" t="str">
        <f>CONCATENATE("* -&gt; ##34#",C9,"##34#")</f>
        <v>* -&gt; ##34#to be mapped##34#</v>
      </c>
      <c r="H9" s="12"/>
      <c r="I9" s="12"/>
      <c r="J9" s="12"/>
      <c r="K9" s="12"/>
      <c r="L9" s="12"/>
      <c r="M9" s="12"/>
      <c r="N9" s="12"/>
      <c r="O9" s="12"/>
    </row>
    <row r="10" spans="1:15" x14ac:dyDescent="0.75">
      <c r="A10" s="18"/>
      <c r="B10" s="18" t="str">
        <f>Order!B8</f>
        <v>orderDetails</v>
      </c>
      <c r="C10" s="18" t="s">
        <v>364</v>
      </c>
      <c r="E10" s="19" t="str">
        <f t="shared" ref="E10:E12" si="0">IF(B10=0,"*  -&gt; ##34###34#",CONCATENATE("* ",B10," -&gt; ##34#",C10,"##34#"))</f>
        <v>* orderDetails -&gt; ##34#to be mapped##34#</v>
      </c>
      <c r="G10" s="17" t="s">
        <v>25</v>
      </c>
      <c r="H10" s="12"/>
      <c r="I10" s="12"/>
      <c r="J10" s="12"/>
      <c r="K10" s="12"/>
      <c r="L10" s="12"/>
      <c r="M10" s="12"/>
      <c r="N10" s="12"/>
      <c r="O10" s="12"/>
    </row>
    <row r="11" spans="1:15" x14ac:dyDescent="0.75">
      <c r="A11" s="18"/>
      <c r="B11" s="18" t="str">
        <f>Order!B9</f>
        <v>orderDetails.identifier</v>
      </c>
      <c r="C11" s="18" t="s">
        <v>364</v>
      </c>
      <c r="E11" s="19" t="str">
        <f t="shared" si="0"/>
        <v>* orderDetails.identifier -&gt; ##34#to be mapped##34#</v>
      </c>
      <c r="G11" s="17" t="s">
        <v>26</v>
      </c>
      <c r="H11" s="12"/>
      <c r="I11" s="12"/>
      <c r="J11" s="12"/>
      <c r="K11" s="12"/>
      <c r="L11" s="12"/>
      <c r="M11" s="12"/>
      <c r="N11" s="12"/>
      <c r="O11" s="12"/>
    </row>
    <row r="12" spans="1:15" ht="44.25" x14ac:dyDescent="0.75">
      <c r="A12" s="18"/>
      <c r="B12" s="18" t="str">
        <f>Order!B10</f>
        <v>orderDetails.dateTime</v>
      </c>
      <c r="C12" s="18" t="s">
        <v>364</v>
      </c>
      <c r="E12" s="19" t="str">
        <f t="shared" si="0"/>
        <v>* orderDetails.dateTime -&gt; ##34#to be mapped##34#</v>
      </c>
      <c r="G12" s="17" t="s">
        <v>27</v>
      </c>
      <c r="H12" s="12"/>
      <c r="I12" s="12"/>
      <c r="J12" s="12"/>
      <c r="K12" s="12"/>
      <c r="L12" s="12"/>
      <c r="M12" s="12"/>
      <c r="N12" s="12"/>
      <c r="O12" s="12"/>
    </row>
    <row r="13" spans="1:15" x14ac:dyDescent="0.75">
      <c r="A13" s="18"/>
      <c r="B13" s="18" t="str">
        <f>Order!B11</f>
        <v>orderDetails.orderPlacerIdentifier</v>
      </c>
      <c r="C13" s="18" t="s">
        <v>364</v>
      </c>
      <c r="E13" s="19" t="str">
        <f>IF(B13=0,"*  -&gt; ##34###34#",CONCATENATE("* ",B13," -&gt; ##34#",C13,"##34#"))</f>
        <v>* orderDetails.orderPlacerIdentifier -&gt; ##34#to be mapped##34#</v>
      </c>
      <c r="G13" s="17" t="s">
        <v>28</v>
      </c>
      <c r="H13" s="12"/>
      <c r="I13" s="12"/>
      <c r="J13" s="12"/>
      <c r="K13" s="12"/>
      <c r="L13" s="12"/>
      <c r="M13" s="12"/>
      <c r="N13" s="12"/>
      <c r="O13" s="12"/>
    </row>
    <row r="14" spans="1:15" x14ac:dyDescent="0.75">
      <c r="A14" s="18"/>
      <c r="B14" s="18" t="str">
        <f>Order!B12</f>
        <v>orderDetails.orderPlacerName</v>
      </c>
      <c r="C14" s="18" t="s">
        <v>364</v>
      </c>
      <c r="E14" s="19" t="str">
        <f>IF(B14=0,"*  -&gt; ##34###34#",CONCATENATE("* ",B14," -&gt; ##34#",C14,"##34#"))</f>
        <v>* orderDetails.orderPlacerName -&gt; ##34#to be mapped##34#</v>
      </c>
      <c r="G14" s="17" t="s">
        <v>29</v>
      </c>
      <c r="H14" s="12"/>
      <c r="I14" s="12"/>
      <c r="J14" s="12"/>
      <c r="K14" s="12"/>
      <c r="L14" s="12"/>
      <c r="M14" s="12"/>
      <c r="N14" s="12"/>
      <c r="O14" s="12"/>
    </row>
    <row r="15" spans="1:15" ht="29.5" x14ac:dyDescent="0.75">
      <c r="A15" s="18"/>
      <c r="B15" s="18" t="str">
        <f>Order!B13</f>
        <v>orderDetails.orderPlacerContacts</v>
      </c>
      <c r="C15" s="18" t="s">
        <v>364</v>
      </c>
      <c r="E15" s="19" t="str">
        <f t="shared" ref="E15:E21" si="1">IF(B15=0,"*  -&gt; ##34###34#",CONCATENATE("* ",B15," -&gt; ##34#",C15,"##34#"))</f>
        <v>* orderDetails.orderPlacerContacts -&gt; ##34#to be mapped##34#</v>
      </c>
      <c r="G15" s="17" t="s">
        <v>30</v>
      </c>
      <c r="H15" s="12"/>
      <c r="I15" s="12"/>
      <c r="J15" s="12"/>
      <c r="K15" s="12"/>
      <c r="L15" s="12"/>
      <c r="M15" s="12"/>
      <c r="N15" s="12"/>
      <c r="O15" s="12"/>
    </row>
    <row r="16" spans="1:15" ht="29.5" x14ac:dyDescent="0.75">
      <c r="A16" s="18"/>
      <c r="B16" s="18" t="str">
        <f>Order!B14</f>
        <v>orderDetails.orderPlacerOrganization</v>
      </c>
      <c r="C16" s="18" t="s">
        <v>364</v>
      </c>
      <c r="E16" s="19" t="str">
        <f t="shared" si="1"/>
        <v>* orderDetails.orderPlacerOrganization -&gt; ##34#to be mapped##34#</v>
      </c>
      <c r="G16" s="17" t="s">
        <v>31</v>
      </c>
      <c r="H16" s="12"/>
      <c r="I16" s="12"/>
      <c r="J16" s="12"/>
      <c r="K16" s="12"/>
      <c r="L16" s="12"/>
      <c r="M16" s="12"/>
      <c r="N16" s="12"/>
      <c r="O16" s="12"/>
    </row>
    <row r="17" spans="1:7" ht="29.5" x14ac:dyDescent="0.75">
      <c r="A17" s="18"/>
      <c r="B17" s="18" t="str">
        <f>Order!B15</f>
        <v>reason</v>
      </c>
      <c r="C17" s="18" t="s">
        <v>364</v>
      </c>
      <c r="E17" s="19" t="str">
        <f t="shared" si="1"/>
        <v>* reason -&gt; ##34#to be mapped##34#</v>
      </c>
      <c r="G17" s="17" t="s">
        <v>32</v>
      </c>
    </row>
    <row r="18" spans="1:7" x14ac:dyDescent="0.75">
      <c r="A18" s="18"/>
      <c r="B18" s="18" t="str">
        <f>Order!B16</f>
        <v>reason.code</v>
      </c>
      <c r="C18" s="18" t="s">
        <v>364</v>
      </c>
      <c r="E18" s="19" t="str">
        <f t="shared" si="1"/>
        <v>* reason.code -&gt; ##34#to be mapped##34#</v>
      </c>
      <c r="G18" s="17" t="s">
        <v>33</v>
      </c>
    </row>
    <row r="19" spans="1:7" x14ac:dyDescent="0.75">
      <c r="A19" s="18"/>
      <c r="B19" s="18">
        <f>Order!B17</f>
        <v>0</v>
      </c>
      <c r="C19" s="18" t="s">
        <v>364</v>
      </c>
      <c r="E19" s="19" t="str">
        <f t="shared" si="1"/>
        <v>*  -&gt; ##34###34#</v>
      </c>
    </row>
    <row r="20" spans="1:7" x14ac:dyDescent="0.75">
      <c r="A20" s="18"/>
      <c r="B20" s="18">
        <f>Order!B18</f>
        <v>0</v>
      </c>
      <c r="C20" s="18" t="s">
        <v>364</v>
      </c>
      <c r="E20" s="19" t="str">
        <f t="shared" si="1"/>
        <v>*  -&gt; ##34###34#</v>
      </c>
    </row>
    <row r="21" spans="1:7" x14ac:dyDescent="0.75">
      <c r="B21" s="18"/>
      <c r="C21" s="18" t="s">
        <v>364</v>
      </c>
      <c r="E21" s="19" t="str">
        <f t="shared" si="1"/>
        <v>*  -&gt; ##34###34#</v>
      </c>
    </row>
    <row r="22" spans="1:7" x14ac:dyDescent="0.75">
      <c r="B22" s="18"/>
      <c r="E22" s="19"/>
    </row>
    <row r="23" spans="1:7" x14ac:dyDescent="0.75">
      <c r="E23" s="19"/>
    </row>
    <row r="24" spans="1:7" x14ac:dyDescent="0.75">
      <c r="E24" s="30"/>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1"/>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Order!I1</f>
        <v>// -------------------------------------------------------------------------------</v>
      </c>
    </row>
    <row r="2" spans="3:7" ht="16.75" thickBot="1" x14ac:dyDescent="0.9">
      <c r="C2" s="41" t="str">
        <f>Order!I2</f>
        <v>//  Logical Model</v>
      </c>
      <c r="G2" s="68" t="s">
        <v>468</v>
      </c>
    </row>
    <row r="3" spans="3:7" x14ac:dyDescent="0.75">
      <c r="C3" s="41" t="str">
        <f>Order!I3</f>
        <v>// -------------------------------------------------------------------------------</v>
      </c>
    </row>
    <row r="4" spans="3:7" x14ac:dyDescent="0.75">
      <c r="C4" s="33" t="str">
        <f>Order!I4</f>
        <v>Logical: OrderLabEhn</v>
      </c>
    </row>
    <row r="5" spans="3:7" x14ac:dyDescent="0.75">
      <c r="C5" s="33" t="str">
        <f>Order!I5</f>
        <v>Id: Order</v>
      </c>
    </row>
    <row r="6" spans="3:7" x14ac:dyDescent="0.75">
      <c r="C6" s="33" t="str">
        <f>Order!I6</f>
        <v>Title: ##34#Order (A2, A3)##34#</v>
      </c>
    </row>
    <row r="7" spans="3:7" x14ac:dyDescent="0.75">
      <c r="C7" s="33" t="str">
        <f>Order!I7</f>
        <v>Description:  ##334#Order information (A.2) and reason (A3)##334#</v>
      </c>
    </row>
    <row r="8" spans="3:7" ht="44.25" x14ac:dyDescent="0.75">
      <c r="C8" s="19" t="str">
        <f>IF(Order!I8="*  ..  ##34###34# ##334###334#","//--- END",Order!I8)</f>
        <v>* orderDetails 0..1 BackboneElement ##34#A.2 Order information##34# ##334#A.2 Order information (Laboratory Result Report could respond to multiple test orders) ##334#</v>
      </c>
    </row>
    <row r="9" spans="3:7" x14ac:dyDescent="0.75">
      <c r="C9" s="19" t="str">
        <f>IF(Order!I9="*  ..  ##34###34# ##334###334#","//--- END",Order!I9)</f>
        <v>* orderDetails.identifier 0..* Identifier ##34#A.2.1 Order Id##34# ##334#An identifier of the laboratory test order. Laboratory Result Report may respond to multiple orders.##334#</v>
      </c>
    </row>
    <row r="10" spans="3:7" ht="29.5" x14ac:dyDescent="0.75">
      <c r="C10" s="19" t="str">
        <f>IF(Order!I10="*  ..  ##34###34# ##334###334#","//--- END",Order!I10)</f>
        <v>* orderDetails.dateTime 0..* dateTime ##34#A.2.2 Order date and time##34# ##334#Date and time of the order placement. - Preferred system(s): ISO 8601##334#</v>
      </c>
      <c r="E10" s="16" t="s">
        <v>312</v>
      </c>
    </row>
    <row r="11" spans="3:7" ht="59" x14ac:dyDescent="0.75">
      <c r="C11" s="19"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9" t="str">
        <f>IF(Order!I12="*  ..  ##34###34# ##334###334#","//--- END",Order!I12)</f>
        <v>* orderDetails.orderPlacerName 0..* HumanName ##34#A.2.4 Order placer name##34# ##334#Person name.##334#</v>
      </c>
    </row>
    <row r="13" spans="3:7" x14ac:dyDescent="0.75">
      <c r="C13" s="19" t="str">
        <f>IF(Order!I13="*  ..  ##34###34# ##334###334#","//--- END",Order!I13)</f>
        <v>* orderDetails.orderPlacerContacts 0..* BackboneElement ##34#A.2.5 Order placer contact details##34# ##334#Contact details of order placer (address and telecom details).##334#</v>
      </c>
    </row>
    <row r="14" spans="3:7" ht="29.5" x14ac:dyDescent="0.75">
      <c r="C14" s="19" t="str">
        <f>IF(Order!I14="*  ..  ##34###34# ##334###334#","//--- END",Order!I14)</f>
        <v>* orderDetails.orderPlacerOrganization 0..* Organization ##34#A.2.6 Order placer organization ##34# ##334#Order placer organization information.##334#</v>
      </c>
    </row>
    <row r="15" spans="3:7" ht="29.5" x14ac:dyDescent="0.75">
      <c r="C15" s="19" t="str">
        <f>IF(Order!I15="*  ..  ##34###34# ##334###334#","//--- END",Order!I15)</f>
        <v>* reason 0..* BackboneElement ##34#A.3 Order reason##34# ##334#A.3 Order reason (Laboratory Result Report could respond to multiple reasons) ##334#</v>
      </c>
    </row>
    <row r="16" spans="3:7" ht="29.5" x14ac:dyDescent="0.75">
      <c r="C16" s="19"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ht="29.5" x14ac:dyDescent="0.75">
      <c r="C17" s="19" t="str">
        <f>IF(Order!I17="*  ..  ##34###34# ##334###334#","//--- END",Order!I17)</f>
        <v>//--- END</v>
      </c>
    </row>
    <row r="18" spans="3:3" ht="29.5" x14ac:dyDescent="0.75">
      <c r="C18" s="19" t="str">
        <f>IF(Order!I18="*  ..  ##34###34# ##334###334#","//--- END",Order!I18)</f>
        <v>//--- END</v>
      </c>
    </row>
    <row r="19" spans="3:3" ht="29.5" x14ac:dyDescent="0.75">
      <c r="C19" s="19" t="str">
        <f>IF(Order!I19="*  ..  ##34###34# ##334###334#","//--- END",Order!I19)</f>
        <v>//--- END</v>
      </c>
    </row>
    <row r="30" spans="3:3" x14ac:dyDescent="0.75">
      <c r="C30" s="40" t="str">
        <f>'Order-Map-1'!E1</f>
        <v>// -------------------------------------------------------------------------------</v>
      </c>
    </row>
    <row r="31" spans="3:3" x14ac:dyDescent="0.75">
      <c r="C31" s="41" t="str">
        <f>'Order-Map-1'!E2</f>
        <v>//  Map to FHIR R4</v>
      </c>
    </row>
    <row r="32" spans="3:3" x14ac:dyDescent="0.75">
      <c r="C32" s="41" t="str">
        <f>'Order-Map-1'!E3</f>
        <v>// -------------------------------------------------------------------------------</v>
      </c>
    </row>
    <row r="33" spans="3:7" x14ac:dyDescent="0.75">
      <c r="C33" s="19" t="str">
        <f>'Order-Map-1'!E4</f>
        <v>Mapping: eHNLabOrder2Fhir</v>
      </c>
    </row>
    <row r="34" spans="3:7" x14ac:dyDescent="0.75">
      <c r="C34" s="19" t="str">
        <f>'Order-Map-1'!E5</f>
        <v>Id: fhir</v>
      </c>
    </row>
    <row r="35" spans="3:7" x14ac:dyDescent="0.75">
      <c r="C35" s="19" t="str">
        <f>'Order-Map-1'!E6</f>
        <v>Title: ##34#eHN Lab Order model to FHIR R4 Map##34#</v>
      </c>
    </row>
    <row r="36" spans="3:7" x14ac:dyDescent="0.75">
      <c r="C36" s="19" t="str">
        <f>'Order-Map-1'!E7</f>
        <v>Source: Order</v>
      </c>
    </row>
    <row r="37" spans="3:7" x14ac:dyDescent="0.75">
      <c r="C37" s="19" t="str">
        <f>'Order-Map-1'!E8</f>
        <v>Target: ##34#hl7.org/fhir/r4##34#</v>
      </c>
    </row>
    <row r="39" spans="3:7" x14ac:dyDescent="0.75">
      <c r="C39" s="19" t="str">
        <f>'Order-Map-1'!E9</f>
        <v>* -&gt; ##34#to be mapped##34#</v>
      </c>
    </row>
    <row r="40" spans="3:7" x14ac:dyDescent="0.75">
      <c r="C40" s="19" t="str">
        <f>IF('Order-Map-1'!E10="*  -&gt; ##34###34#","// --END",'Order-Map-1'!E10)</f>
        <v>* orderDetails -&gt; ##34#to be mapped##34#</v>
      </c>
    </row>
    <row r="41" spans="3:7" x14ac:dyDescent="0.75">
      <c r="C41" s="19" t="str">
        <f>IF('Order-Map-1'!E11="*  -&gt; ##34###34#","// --END",'Order-Map-1'!E11)</f>
        <v>* orderDetails.identifier -&gt; ##34#to be mapped##34#</v>
      </c>
    </row>
    <row r="42" spans="3:7" x14ac:dyDescent="0.75">
      <c r="C42" s="19" t="str">
        <f>IF('Order-Map-1'!E12="*  -&gt; ##34###34#","// --END",'Order-Map-1'!E12)</f>
        <v>* orderDetails.dateTime -&gt; ##34#to be mapped##34#</v>
      </c>
    </row>
    <row r="43" spans="3:7" x14ac:dyDescent="0.75">
      <c r="C43" s="19" t="str">
        <f>IF('Order-Map-1'!E13="*  -&gt; ##34###34#","// --END",'Order-Map-1'!E13)</f>
        <v>* orderDetails.orderPlacerIdentifier -&gt; ##34#to be mapped##34#</v>
      </c>
    </row>
    <row r="44" spans="3:7" x14ac:dyDescent="0.75">
      <c r="C44" s="19" t="str">
        <f>IF('Order-Map-1'!E14="*  -&gt; ##34###34#","// --END",'Order-Map-1'!E14)</f>
        <v>* orderDetails.orderPlacerName -&gt; ##34#to be mapped##34#</v>
      </c>
    </row>
    <row r="45" spans="3:7" x14ac:dyDescent="0.75">
      <c r="C45" s="19" t="str">
        <f>IF('Order-Map-1'!E15="*  -&gt; ##34###34#","// --END",'Order-Map-1'!E15)</f>
        <v>* orderDetails.orderPlacerContacts -&gt; ##34#to be mapped##34#</v>
      </c>
    </row>
    <row r="46" spans="3:7" x14ac:dyDescent="0.75">
      <c r="C46" s="19" t="str">
        <f>IF('Order-Map-1'!E16="*  -&gt; ##34###34#","// --END",'Order-Map-1'!E16)</f>
        <v>* orderDetails.orderPlacerOrganization -&gt; ##34#to be mapped##34#</v>
      </c>
    </row>
    <row r="47" spans="3:7" x14ac:dyDescent="0.75">
      <c r="C47" s="19" t="str">
        <f>IF('Order-Map-1'!E17="*  -&gt; ##34###34#","// --END",'Order-Map-1'!E17)</f>
        <v>* reason -&gt; ##34#to be mapped##34#</v>
      </c>
    </row>
    <row r="48" spans="3:7" x14ac:dyDescent="0.75">
      <c r="C48" s="19" t="str">
        <f>IF('Order-Map-1'!E18="*  -&gt; ##34###34#","// --END",'Order-Map-1'!E18)</f>
        <v>* reason.code -&gt; ##34#to be mapped##34#</v>
      </c>
      <c r="G48" s="12"/>
    </row>
    <row r="49" spans="3:3" x14ac:dyDescent="0.75">
      <c r="C49" s="19" t="str">
        <f>IF('Order-Map-1'!E19="*  -&gt; ##34###34#","// --END",'Order-Map-1'!E19)</f>
        <v>// --END</v>
      </c>
    </row>
    <row r="50" spans="3:3" x14ac:dyDescent="0.75">
      <c r="C50" s="19" t="str">
        <f>IF('Order-Map-1'!E20="*  -&gt; ##34###34#","// --END",'Order-Map-1'!E20)</f>
        <v>// --END</v>
      </c>
    </row>
    <row r="51" spans="3:3" x14ac:dyDescent="0.75">
      <c r="C51" s="19" t="str">
        <f>IF('Order-Map-1'!E21="*  -&gt; ##34###34#","// --END",'Order-Map-1'!E21)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5" sqref="B5"/>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481</v>
      </c>
      <c r="C4" s="21"/>
      <c r="D4" s="3"/>
      <c r="I4" s="33" t="str">
        <f>CONCATENATE("Logical: ",B4)</f>
        <v>Logical: SpecimenLabEhn</v>
      </c>
    </row>
    <row r="5" spans="1:11" x14ac:dyDescent="0.75">
      <c r="A5" s="25" t="s">
        <v>19</v>
      </c>
      <c r="B5" s="43" t="s">
        <v>562</v>
      </c>
      <c r="C5" s="21"/>
      <c r="D5" s="3"/>
      <c r="I5" s="33" t="str">
        <f>CONCATENATE("Id: ",B5)</f>
        <v>Id: Specimen-eHN</v>
      </c>
    </row>
    <row r="6" spans="1:11" x14ac:dyDescent="0.75">
      <c r="A6" s="27" t="s">
        <v>13</v>
      </c>
      <c r="B6" s="26" t="s">
        <v>480</v>
      </c>
      <c r="C6" s="21"/>
      <c r="D6" s="3"/>
      <c r="I6" s="34" t="str">
        <f>CONCATENATE("Title: ##34#",B6,"##34#")</f>
        <v>Title: ##34#Specimen information (A.4)##34#</v>
      </c>
    </row>
    <row r="7" spans="1:11" x14ac:dyDescent="0.75">
      <c r="A7" s="56" t="s">
        <v>5</v>
      </c>
      <c r="B7" s="26" t="s">
        <v>470</v>
      </c>
      <c r="C7" s="14"/>
      <c r="D7" s="2"/>
      <c r="E7" s="71"/>
      <c r="F7" s="4" t="s">
        <v>9</v>
      </c>
      <c r="G7" s="4" t="s">
        <v>10</v>
      </c>
      <c r="I7" s="34" t="str">
        <f>CONCATENATE("Description: "," ##334#",B7,"##334#",)</f>
        <v>Description:  ##334#A.4 Specimen information ##334#</v>
      </c>
    </row>
    <row r="8" spans="1:11" ht="59" x14ac:dyDescent="0.75">
      <c r="A8" s="18">
        <v>1</v>
      </c>
      <c r="B8" s="18" t="s">
        <v>378</v>
      </c>
      <c r="C8" s="19" t="s">
        <v>471</v>
      </c>
      <c r="D8" s="19" t="s">
        <v>485</v>
      </c>
      <c r="E8" s="18">
        <v>0</v>
      </c>
      <c r="F8" s="18">
        <v>1</v>
      </c>
      <c r="G8" s="18" t="s">
        <v>0</v>
      </c>
      <c r="H8" s="31"/>
      <c r="I8" s="42"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18">
        <v>2</v>
      </c>
      <c r="B9" s="18" t="s">
        <v>494</v>
      </c>
      <c r="C9" s="19" t="s">
        <v>472</v>
      </c>
      <c r="D9" s="46" t="s">
        <v>486</v>
      </c>
      <c r="E9" s="18">
        <v>0</v>
      </c>
      <c r="F9" s="18" t="s">
        <v>11</v>
      </c>
      <c r="G9" s="18" t="s">
        <v>1</v>
      </c>
      <c r="H9" s="31"/>
      <c r="I9" s="42"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18">
        <v>3</v>
      </c>
      <c r="B10" s="18" t="s">
        <v>495</v>
      </c>
      <c r="C10" s="17" t="s">
        <v>473</v>
      </c>
      <c r="D10" s="19" t="s">
        <v>487</v>
      </c>
      <c r="E10" s="18">
        <v>0</v>
      </c>
      <c r="F10" s="18" t="s">
        <v>11</v>
      </c>
      <c r="G10" s="18" t="s">
        <v>1</v>
      </c>
      <c r="H10" s="31"/>
      <c r="I10" s="42" t="str">
        <f t="shared" si="0"/>
        <v>* material 0..* CodeableConcept ##34#A.4.3 Material##34# ##334#Specimen material. - Preferred system(s): SNOMED CT##334#</v>
      </c>
    </row>
    <row r="11" spans="1:11" ht="29.5" x14ac:dyDescent="0.75">
      <c r="A11" s="73">
        <v>4</v>
      </c>
      <c r="B11" s="18" t="s">
        <v>2</v>
      </c>
      <c r="C11" s="19" t="s">
        <v>474</v>
      </c>
      <c r="D11" s="74" t="s">
        <v>488</v>
      </c>
      <c r="E11" s="73">
        <v>0</v>
      </c>
      <c r="F11" s="73" t="s">
        <v>11</v>
      </c>
      <c r="G11" s="18" t="s">
        <v>2</v>
      </c>
      <c r="H11" s="31"/>
      <c r="I11" s="42" t="str">
        <f t="shared" si="0"/>
        <v>* dateTime 0..* dateTime ##34#A.4.4 Collection period##34# ##334#Collection date time or period. - Preferred system(s): ISO 8601##334#</v>
      </c>
    </row>
    <row r="12" spans="1:11" ht="44.25" x14ac:dyDescent="0.75">
      <c r="A12" s="18">
        <v>5</v>
      </c>
      <c r="B12" s="18" t="s">
        <v>496</v>
      </c>
      <c r="C12" s="62" t="s">
        <v>475</v>
      </c>
      <c r="D12" s="19" t="s">
        <v>489</v>
      </c>
      <c r="E12" s="73">
        <v>0</v>
      </c>
      <c r="F12" s="73" t="s">
        <v>11</v>
      </c>
      <c r="G12" s="18" t="s">
        <v>1</v>
      </c>
      <c r="H12" s="31"/>
      <c r="I12" s="42" t="str">
        <f t="shared" si="0"/>
        <v>* anatomicLocation 0..* CodeableConcept ##34#A.4.5 Anatomic location##34# ##334#Anatomic location (body location, laterality) where the material is collected, e.g. Elbow, left - Preferred system(s): SNOMED CT##334#</v>
      </c>
    </row>
    <row r="13" spans="1:11" ht="59" x14ac:dyDescent="0.75">
      <c r="A13" s="18">
        <v>6</v>
      </c>
      <c r="B13" s="18" t="s">
        <v>498</v>
      </c>
      <c r="C13" s="62" t="s">
        <v>476</v>
      </c>
      <c r="D13" s="19" t="s">
        <v>490</v>
      </c>
      <c r="E13" s="73">
        <v>0</v>
      </c>
      <c r="F13" s="73" t="s">
        <v>11</v>
      </c>
      <c r="G13" s="18" t="s">
        <v>1</v>
      </c>
      <c r="H13" s="31"/>
      <c r="I13" s="42" t="str">
        <f t="shared" si="0"/>
        <v>* morphology 0..* CodeableConcept ##34#A.4.6 Morphology##34# ##334#Morphological abnormalities of the anatomical location where the material is taken, for example wound, ulcer. - Preferred system(s): SNOMED CT##334#</v>
      </c>
    </row>
    <row r="14" spans="1:11" ht="73.75" x14ac:dyDescent="0.75">
      <c r="A14" s="18">
        <v>7</v>
      </c>
      <c r="B14" s="18" t="s">
        <v>497</v>
      </c>
      <c r="C14" s="19" t="s">
        <v>477</v>
      </c>
      <c r="D14" s="62" t="s">
        <v>493</v>
      </c>
      <c r="E14" s="73">
        <v>0</v>
      </c>
      <c r="F14" s="73" t="s">
        <v>11</v>
      </c>
      <c r="G14" s="18" t="s">
        <v>1</v>
      </c>
      <c r="H14" s="31"/>
      <c r="I14" s="42"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18">
        <v>8</v>
      </c>
      <c r="B15" s="18" t="s">
        <v>499</v>
      </c>
      <c r="C15" s="16" t="s">
        <v>478</v>
      </c>
      <c r="D15" s="17" t="s">
        <v>491</v>
      </c>
      <c r="E15" s="18">
        <v>0</v>
      </c>
      <c r="F15" s="18" t="s">
        <v>11</v>
      </c>
      <c r="G15" s="18" t="s">
        <v>1</v>
      </c>
      <c r="H15" s="31"/>
      <c r="I15" s="42" t="str">
        <f t="shared" si="0"/>
        <v>* collectionMethod 0..* CodeableConcept ##34#A.4.8 Collection procedure/method##34# ##334#If relevant for the results, the method of obtaining the specimen. - Preferred system(s): SNOMED CT##334#</v>
      </c>
      <c r="J15" s="23"/>
      <c r="K15" s="18"/>
    </row>
    <row r="16" spans="1:11" ht="44.25" x14ac:dyDescent="0.75">
      <c r="A16" s="18">
        <v>9</v>
      </c>
      <c r="B16" s="18" t="s">
        <v>500</v>
      </c>
      <c r="C16" s="16" t="s">
        <v>479</v>
      </c>
      <c r="D16" s="17" t="s">
        <v>492</v>
      </c>
      <c r="E16" s="18">
        <v>0</v>
      </c>
      <c r="F16" s="18" t="s">
        <v>11</v>
      </c>
      <c r="G16" s="63" t="s">
        <v>2</v>
      </c>
      <c r="H16" s="18"/>
      <c r="I16" s="42" t="str">
        <f t="shared" si="0"/>
        <v>* receivedDateTime 0..* dateTime ##34#A.4.9 Received date##34# ##334#Date and time that the material is handed over at the laboratory or specimen collection centre. - Preferred system(s): ISO 8601##334#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customHeight="1" thickBot="1" x14ac:dyDescent="0.9">
      <c r="B26" s="16" t="str">
        <f t="shared" ref="B26:B37" si="1">CONCATENATE(C26," ",D26)</f>
        <v xml:space="preserve">A.4 Specimen information </v>
      </c>
      <c r="C26" s="101" t="s">
        <v>169</v>
      </c>
      <c r="D26" s="102"/>
      <c r="E26" s="102"/>
      <c r="F26" s="103"/>
    </row>
    <row r="27" spans="2:9" ht="112.75" thickBot="1" x14ac:dyDescent="0.9">
      <c r="B27" s="16" t="str">
        <f t="shared" si="1"/>
        <v>A.4.1 Specimen identifier</v>
      </c>
      <c r="C27" s="80" t="s">
        <v>170</v>
      </c>
      <c r="D27" s="48" t="s">
        <v>171</v>
      </c>
      <c r="E27" s="46" t="s">
        <v>482</v>
      </c>
      <c r="F27" s="52"/>
      <c r="I27" s="17"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s="16" t="str">
        <f t="shared" si="1"/>
        <v>A.4.2 Type of species</v>
      </c>
      <c r="C28" s="80" t="s">
        <v>173</v>
      </c>
      <c r="D28" s="48" t="s">
        <v>174</v>
      </c>
      <c r="E28" s="46" t="s">
        <v>175</v>
      </c>
      <c r="F28" s="48" t="s">
        <v>167</v>
      </c>
      <c r="I28" s="17" t="str">
        <f t="shared" si="2"/>
        <v>Biologic type of species for laboratory result reports bound to non-human subjects. - Preferred system(s): SNOMED CT</v>
      </c>
    </row>
    <row r="29" spans="2:9" ht="32.75" thickBot="1" x14ac:dyDescent="0.9">
      <c r="B29" s="16" t="str">
        <f t="shared" si="1"/>
        <v>A.4.3 Material</v>
      </c>
      <c r="C29" s="80" t="s">
        <v>176</v>
      </c>
      <c r="D29" s="48" t="s">
        <v>177</v>
      </c>
      <c r="E29" s="46" t="s">
        <v>178</v>
      </c>
      <c r="F29" s="48" t="s">
        <v>167</v>
      </c>
      <c r="I29" s="17" t="str">
        <f t="shared" si="2"/>
        <v>Specimen material. - Preferred system(s): SNOMED CT</v>
      </c>
    </row>
    <row r="30" spans="2:9" ht="16.75" thickBot="1" x14ac:dyDescent="0.9">
      <c r="B30" s="16" t="str">
        <f t="shared" si="1"/>
        <v>A.4.4 Collection period</v>
      </c>
      <c r="C30" s="80" t="s">
        <v>179</v>
      </c>
      <c r="D30" s="48" t="s">
        <v>180</v>
      </c>
      <c r="E30" s="46" t="s">
        <v>181</v>
      </c>
      <c r="F30" s="48" t="s">
        <v>113</v>
      </c>
      <c r="I30" s="17" t="str">
        <f t="shared" si="2"/>
        <v>Collection date time or period. - Preferred system(s): ISO 8601</v>
      </c>
    </row>
    <row r="31" spans="2:9" ht="64.75" thickBot="1" x14ac:dyDescent="0.9">
      <c r="B31" s="16" t="str">
        <f t="shared" si="1"/>
        <v>A.4.5 Anatomic location</v>
      </c>
      <c r="C31" s="80" t="s">
        <v>182</v>
      </c>
      <c r="D31" s="48" t="s">
        <v>183</v>
      </c>
      <c r="E31" s="46" t="s">
        <v>184</v>
      </c>
      <c r="F31" s="48" t="s">
        <v>167</v>
      </c>
      <c r="I31" s="17" t="str">
        <f t="shared" si="2"/>
        <v>Anatomic location (body location, laterality) where the material is collected, e.g. Elbow, left - Preferred system(s): SNOMED CT</v>
      </c>
    </row>
    <row r="32" spans="2:9" ht="64.75" thickBot="1" x14ac:dyDescent="0.9">
      <c r="B32" s="16" t="str">
        <f t="shared" si="1"/>
        <v>A.4.6 Morphology</v>
      </c>
      <c r="C32" s="80" t="s">
        <v>185</v>
      </c>
      <c r="D32" s="48" t="s">
        <v>186</v>
      </c>
      <c r="E32" s="46" t="s">
        <v>187</v>
      </c>
      <c r="F32" s="48" t="s">
        <v>167</v>
      </c>
      <c r="I32" s="17" t="str">
        <f t="shared" si="2"/>
        <v>Morphological abnormalities of the anatomical location where the material is taken, for example wound, ulcer. - Preferred system(s): SNOMED CT</v>
      </c>
    </row>
    <row r="33" spans="2:9" ht="15.5" customHeight="1" x14ac:dyDescent="0.75">
      <c r="B33" s="16" t="str">
        <f t="shared" si="1"/>
        <v>A.4.7 Source Device</v>
      </c>
      <c r="C33" s="89" t="s">
        <v>188</v>
      </c>
      <c r="D33" s="92" t="s">
        <v>189</v>
      </c>
      <c r="E33" s="89" t="s">
        <v>190</v>
      </c>
      <c r="F33" s="53" t="s">
        <v>167</v>
      </c>
      <c r="I33" s="17" t="str">
        <f t="shared" si="2"/>
        <v>If the material is not collected directly from the patient but comes from a patient-related object, e.g. a catheter - Preferred system(s): SNOMED CT</v>
      </c>
    </row>
    <row r="34" spans="2:9" ht="80" customHeight="1" x14ac:dyDescent="0.75">
      <c r="B34" s="16" t="str">
        <f t="shared" si="1"/>
        <v xml:space="preserve"> </v>
      </c>
      <c r="C34" s="90"/>
      <c r="D34" s="93"/>
      <c r="E34" s="90"/>
      <c r="F34" s="50"/>
      <c r="I34" s="17" t="str">
        <f t="shared" si="2"/>
        <v xml:space="preserve"> - Preferred system(s): </v>
      </c>
    </row>
    <row r="35" spans="2:9" ht="16.75" thickBot="1" x14ac:dyDescent="0.9">
      <c r="B35" s="16" t="str">
        <f t="shared" si="1"/>
        <v xml:space="preserve"> </v>
      </c>
      <c r="C35" s="91"/>
      <c r="D35" s="94"/>
      <c r="E35" s="91"/>
      <c r="F35" s="48" t="s">
        <v>191</v>
      </c>
      <c r="I35" s="17" t="str">
        <f t="shared" si="2"/>
        <v xml:space="preserve"> - Preferred system(s): EMDN</v>
      </c>
    </row>
    <row r="36" spans="2:9" ht="48.75" thickBot="1" x14ac:dyDescent="0.9">
      <c r="B36" s="16" t="str">
        <f t="shared" si="1"/>
        <v>A.4.8 Collection procedure/method</v>
      </c>
      <c r="C36" s="80" t="s">
        <v>192</v>
      </c>
      <c r="D36" s="48" t="s">
        <v>193</v>
      </c>
      <c r="E36" s="46" t="s">
        <v>194</v>
      </c>
      <c r="F36" s="48" t="s">
        <v>167</v>
      </c>
      <c r="I36" s="17" t="str">
        <f t="shared" si="2"/>
        <v>If relevant for the results, the method of obtaining the specimen. - Preferred system(s): SNOMED CT</v>
      </c>
    </row>
    <row r="37" spans="2:9" ht="48.75" thickBot="1" x14ac:dyDescent="0.9">
      <c r="B37" s="16" t="str">
        <f t="shared" si="1"/>
        <v>A.4.9 Received date</v>
      </c>
      <c r="C37" s="80" t="s">
        <v>195</v>
      </c>
      <c r="D37" s="48" t="s">
        <v>196</v>
      </c>
      <c r="E37" s="46" t="s">
        <v>197</v>
      </c>
      <c r="F37" s="48" t="s">
        <v>113</v>
      </c>
      <c r="I37" s="17"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G17" sqref="G17"/>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483</v>
      </c>
      <c r="E4" s="36" t="str">
        <f>CONCATENATE("Mapping: ",C4)</f>
        <v>Mapping: eHNLabSpecimen2Fhir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484</v>
      </c>
      <c r="E6" s="37" t="str">
        <f>CONCATENATE("Title: ##34#",C6,"##34#")</f>
        <v>Title: ##34#eHN Lab Specimen model to FHIR R4 Map##34#</v>
      </c>
      <c r="G6" s="17" t="s">
        <v>22</v>
      </c>
      <c r="H6" s="12"/>
      <c r="I6" s="12"/>
      <c r="J6" s="12"/>
      <c r="K6" s="12"/>
      <c r="L6" s="12"/>
      <c r="M6" s="12"/>
      <c r="N6" s="12"/>
      <c r="O6" s="12"/>
    </row>
    <row r="7" spans="1:15" ht="15.5" thickBot="1" x14ac:dyDescent="0.9">
      <c r="B7" s="15" t="s">
        <v>35</v>
      </c>
      <c r="C7" s="13" t="str">
        <f>B9</f>
        <v>Specimen-eHN</v>
      </c>
      <c r="E7" s="37" t="str">
        <f>CONCATENATE("Source: ",C7)</f>
        <v>Source: Specimen-eHN</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Specimen!B5</f>
        <v>Specimen-eHN</v>
      </c>
      <c r="C9" s="9" t="s">
        <v>364</v>
      </c>
      <c r="E9" s="5" t="str">
        <f>CONCATENATE("* -&gt; ##34#",C9,"##34#")</f>
        <v>* -&gt; ##34#to be mapped##34#</v>
      </c>
      <c r="H9" s="12"/>
      <c r="I9" s="12"/>
      <c r="J9" s="12"/>
      <c r="K9" s="12"/>
      <c r="L9" s="12"/>
      <c r="M9" s="12"/>
      <c r="N9" s="12"/>
      <c r="O9" s="12"/>
    </row>
    <row r="10" spans="1:15" x14ac:dyDescent="0.75">
      <c r="A10" s="18">
        <v>1</v>
      </c>
      <c r="B10" s="18" t="str">
        <f>Specimen!B8</f>
        <v>identifier</v>
      </c>
      <c r="C10" s="18" t="s">
        <v>364</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v>2</v>
      </c>
      <c r="B11" s="18" t="str">
        <f>Specimen!B9</f>
        <v>speciesType</v>
      </c>
      <c r="C11" s="18" t="s">
        <v>364</v>
      </c>
      <c r="E11" s="19" t="str">
        <f t="shared" si="0"/>
        <v>* speciesType -&gt; ##34#to be mapped##34#</v>
      </c>
      <c r="G11" s="17" t="s">
        <v>26</v>
      </c>
      <c r="H11" s="12"/>
      <c r="I11" s="12"/>
      <c r="J11" s="12"/>
      <c r="K11" s="12"/>
      <c r="L11" s="12"/>
      <c r="M11" s="12"/>
      <c r="N11" s="12"/>
      <c r="O11" s="12"/>
    </row>
    <row r="12" spans="1:15" ht="44.25" x14ac:dyDescent="0.75">
      <c r="A12" s="18">
        <v>3</v>
      </c>
      <c r="B12" s="18" t="str">
        <f>Specimen!B10</f>
        <v>material</v>
      </c>
      <c r="C12" s="18" t="s">
        <v>364</v>
      </c>
      <c r="E12" s="19" t="str">
        <f t="shared" si="0"/>
        <v>* material -&gt; ##34#to be mapped##34#</v>
      </c>
      <c r="G12" s="17" t="s">
        <v>27</v>
      </c>
      <c r="H12" s="12"/>
      <c r="I12" s="12"/>
      <c r="J12" s="12"/>
      <c r="K12" s="12"/>
      <c r="L12" s="12"/>
      <c r="M12" s="12"/>
      <c r="N12" s="12"/>
      <c r="O12" s="12"/>
    </row>
    <row r="13" spans="1:15" x14ac:dyDescent="0.75">
      <c r="A13" s="18">
        <v>4</v>
      </c>
      <c r="B13" s="18" t="str">
        <f>Specimen!B11</f>
        <v>dateTime</v>
      </c>
      <c r="C13" s="18" t="s">
        <v>364</v>
      </c>
      <c r="E13" s="19" t="str">
        <f>IF(B13=0,"*  -&gt; ##34###34#",CONCATENATE("* ",B13," -&gt; ##34#",C13,"##34#"))</f>
        <v>* dateTime -&gt; ##34#to be mapped##34#</v>
      </c>
      <c r="G13" s="17" t="s">
        <v>28</v>
      </c>
      <c r="H13" s="12"/>
      <c r="I13" s="12"/>
      <c r="J13" s="12"/>
      <c r="K13" s="12"/>
      <c r="L13" s="12"/>
      <c r="M13" s="12"/>
      <c r="N13" s="12"/>
      <c r="O13" s="12"/>
    </row>
    <row r="14" spans="1:15" x14ac:dyDescent="0.75">
      <c r="A14" s="18">
        <v>5</v>
      </c>
      <c r="B14" s="18" t="str">
        <f>Specimen!B12</f>
        <v>anatomicLocation</v>
      </c>
      <c r="C14" s="18" t="s">
        <v>364</v>
      </c>
      <c r="E14" s="19" t="str">
        <f>IF(B14=0,"*  -&gt; ##34###34#",CONCATENATE("* ",B14," -&gt; ##34#",C14,"##34#"))</f>
        <v>* anatomicLocation -&gt; ##34#to be mapped##34#</v>
      </c>
      <c r="G14" s="17" t="s">
        <v>29</v>
      </c>
      <c r="H14" s="12"/>
      <c r="I14" s="12"/>
      <c r="J14" s="12"/>
      <c r="K14" s="12"/>
      <c r="L14" s="12"/>
      <c r="M14" s="12"/>
      <c r="N14" s="12"/>
      <c r="O14" s="12"/>
    </row>
    <row r="15" spans="1:15" ht="29.5" x14ac:dyDescent="0.75">
      <c r="A15" s="18">
        <v>6</v>
      </c>
      <c r="B15" s="18" t="str">
        <f>Specimen!B13</f>
        <v>morphology</v>
      </c>
      <c r="C15" s="18" t="s">
        <v>364</v>
      </c>
      <c r="E15" s="19" t="str">
        <f t="shared" ref="E15:E21" si="1">IF(B15=0,"*  -&gt; ##34###34#",CONCATENATE("* ",B15," -&gt; ##34#",C15,"##34#"))</f>
        <v>* morphology -&gt; ##34#to be mapped##34#</v>
      </c>
      <c r="G15" s="17" t="s">
        <v>30</v>
      </c>
      <c r="H15" s="12"/>
      <c r="I15" s="12"/>
      <c r="J15" s="12"/>
      <c r="K15" s="12"/>
      <c r="L15" s="12"/>
      <c r="M15" s="12"/>
      <c r="N15" s="12"/>
      <c r="O15" s="12"/>
    </row>
    <row r="16" spans="1:15" ht="29.5" x14ac:dyDescent="0.75">
      <c r="A16" s="18">
        <v>7</v>
      </c>
      <c r="B16" s="18" t="str">
        <f>Specimen!B14</f>
        <v>sourceDevice</v>
      </c>
      <c r="C16" s="18" t="s">
        <v>364</v>
      </c>
      <c r="E16" s="19" t="str">
        <f t="shared" si="1"/>
        <v>* sourceDevice -&gt; ##34#to be mapped##34#</v>
      </c>
      <c r="G16" s="17" t="s">
        <v>31</v>
      </c>
      <c r="H16" s="12"/>
      <c r="I16" s="12"/>
      <c r="J16" s="12"/>
      <c r="K16" s="12"/>
      <c r="L16" s="12"/>
      <c r="M16" s="12"/>
      <c r="N16" s="12"/>
      <c r="O16" s="12"/>
    </row>
    <row r="17" spans="1:7" ht="29.5" x14ac:dyDescent="0.75">
      <c r="A17" s="18">
        <v>8</v>
      </c>
      <c r="B17" s="18" t="str">
        <f>Specimen!B15</f>
        <v>collectionMethod</v>
      </c>
      <c r="C17" s="18" t="s">
        <v>364</v>
      </c>
      <c r="E17" s="19" t="str">
        <f t="shared" si="1"/>
        <v>* collectionMethod -&gt; ##34#to be mapped##34#</v>
      </c>
      <c r="G17" s="17" t="s">
        <v>32</v>
      </c>
    </row>
    <row r="18" spans="1:7" x14ac:dyDescent="0.75">
      <c r="A18" s="18">
        <v>9</v>
      </c>
      <c r="B18" s="18" t="str">
        <f>Specimen!B16</f>
        <v>receivedDateTime</v>
      </c>
      <c r="C18" s="18" t="s">
        <v>364</v>
      </c>
      <c r="E18" s="19" t="str">
        <f t="shared" si="1"/>
        <v>* receivedDateTime -&gt; ##34#to be mapped##34#</v>
      </c>
      <c r="G18" s="17" t="s">
        <v>33</v>
      </c>
    </row>
    <row r="19" spans="1:7" x14ac:dyDescent="0.75">
      <c r="A19" s="18">
        <v>10</v>
      </c>
      <c r="B19" s="18">
        <f>Specimen!B17</f>
        <v>0</v>
      </c>
      <c r="C19" s="18" t="s">
        <v>364</v>
      </c>
      <c r="E19" s="19" t="str">
        <f t="shared" si="1"/>
        <v>*  -&gt; ##34###34#</v>
      </c>
    </row>
    <row r="20" spans="1:7" x14ac:dyDescent="0.75">
      <c r="A20" s="18"/>
      <c r="B20" s="18">
        <f>Specimen!B18</f>
        <v>0</v>
      </c>
      <c r="C20" s="18" t="s">
        <v>364</v>
      </c>
      <c r="E20" s="19" t="str">
        <f t="shared" si="1"/>
        <v>*  -&gt; ##34###34#</v>
      </c>
    </row>
    <row r="21" spans="1:7" x14ac:dyDescent="0.75">
      <c r="B21" s="18">
        <f>Specimen!B19</f>
        <v>0</v>
      </c>
      <c r="C21" s="18" t="s">
        <v>364</v>
      </c>
      <c r="E21" s="19" t="str">
        <f t="shared" si="1"/>
        <v>*  -&gt; ##34###34#</v>
      </c>
    </row>
    <row r="22" spans="1:7" x14ac:dyDescent="0.75">
      <c r="B22" s="18">
        <f>Specimen!B20</f>
        <v>0</v>
      </c>
      <c r="E22" s="19"/>
    </row>
    <row r="23" spans="1:7" x14ac:dyDescent="0.75">
      <c r="E23" s="19"/>
    </row>
    <row r="24" spans="1:7" x14ac:dyDescent="0.75">
      <c r="E24" s="30"/>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tabSelected="1" workbookViewId="0">
      <selection activeCell="G17" sqref="G17"/>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Specimen!I1</f>
        <v>// -------------------------------------------------------------------------------</v>
      </c>
    </row>
    <row r="2" spans="3:7" ht="16.75" thickBot="1" x14ac:dyDescent="0.9">
      <c r="C2" s="41" t="str">
        <f>Specimen!I2</f>
        <v>//  Logical Model</v>
      </c>
      <c r="G2" s="68" t="s">
        <v>501</v>
      </c>
    </row>
    <row r="3" spans="3:7" x14ac:dyDescent="0.75">
      <c r="C3" s="41" t="str">
        <f>Specimen!I3</f>
        <v>// -------------------------------------------------------------------------------</v>
      </c>
    </row>
    <row r="4" spans="3:7" x14ac:dyDescent="0.75">
      <c r="C4" s="33" t="str">
        <f>Specimen!I4</f>
        <v>Logical: SpecimenLabEhn</v>
      </c>
    </row>
    <row r="5" spans="3:7" x14ac:dyDescent="0.75">
      <c r="C5" s="33" t="str">
        <f>Specimen!I5</f>
        <v>Id: Specimen-eHN</v>
      </c>
    </row>
    <row r="6" spans="3:7" x14ac:dyDescent="0.75">
      <c r="C6" s="33" t="str">
        <f>Specimen!I6</f>
        <v>Title: ##34#Specimen information (A.4)##34#</v>
      </c>
    </row>
    <row r="7" spans="3:7" x14ac:dyDescent="0.75">
      <c r="C7" s="33" t="str">
        <f>Specimen!I7</f>
        <v>Description:  ##334#A.4 Specimen information ##334#</v>
      </c>
    </row>
    <row r="8" spans="3:7" ht="29.5" x14ac:dyDescent="0.75">
      <c r="C8" s="19"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9" t="str">
        <f>IF(Specimen!I9="*  ..  ##34###34# ##334###334#","//--- END",Specimen!I9)</f>
        <v>* speciesType 0..* CodeableConcept ##34#A.4.2 Type of species##34# ##334#Biologic type of species for laboratory result reports bound to non-human subjects. - Preferred system(s): SNOMED CT##334#</v>
      </c>
    </row>
    <row r="10" spans="3:7" ht="29.5" x14ac:dyDescent="0.75">
      <c r="C10" s="19" t="str">
        <f>IF(Specimen!I10="*  ..  ##34###34# ##334###334#","//--- END",Specimen!I10)</f>
        <v>* material 0..* CodeableConcept ##34#A.4.3 Material##34# ##334#Specimen material. - Preferred system(s): SNOMED CT##334#</v>
      </c>
      <c r="E10" s="16" t="s">
        <v>312</v>
      </c>
    </row>
    <row r="11" spans="3:7" ht="59" x14ac:dyDescent="0.75">
      <c r="C11" s="19" t="str">
        <f>IF(Specimen!I11="*  ..  ##34###34# ##334###334#","//--- END",Specimen!I11)</f>
        <v>* dateTime 0..* dateTime ##34#A.4.4 Collection period##34# ##334#Collection date time or period. - Preferred system(s): ISO 8601##334#</v>
      </c>
    </row>
    <row r="12" spans="3:7" x14ac:dyDescent="0.75">
      <c r="C12" s="19"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9" t="str">
        <f>IF(Specimen!I13="*  ..  ##34###34# ##334###334#","//--- END",Specimen!I13)</f>
        <v>* morphology 0..* CodeableConcept ##34#A.4.6 Morphology##34# ##334#Morphological abnormalities of the anatomical location where the material is taken, for example wound, ulcer. - Preferred system(s): SNOMED CT##334#</v>
      </c>
    </row>
    <row r="14" spans="3:7" ht="29.5" x14ac:dyDescent="0.75">
      <c r="C14" s="19"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9" t="str">
        <f>IF(Specimen!I15="*  ..  ##34###34# ##334###334#","//--- END",Specimen!I15)</f>
        <v>* collectionMethod 0..* CodeableConcept ##34#A.4.8 Collection procedure/method##34# ##334#If relevant for the results, the method of obtaining the specimen. - Preferred system(s): SNOMED CT##334#</v>
      </c>
    </row>
    <row r="16" spans="3:7" ht="88.5" x14ac:dyDescent="0.75">
      <c r="C16" s="19"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9" t="str">
        <f>IF(Specimen!I17="*  ..  ##34###34# ##334###334#","//--- END",Specimen!I17)</f>
        <v>//--- END</v>
      </c>
    </row>
    <row r="18" spans="3:3" x14ac:dyDescent="0.75">
      <c r="C18" s="19" t="str">
        <f>IF(Specimen!I18="*  ..  ##34###34# ##334###334#","//--- END",Specimen!I18)</f>
        <v>//--- END</v>
      </c>
    </row>
    <row r="19" spans="3:3" x14ac:dyDescent="0.75">
      <c r="C19" s="19" t="str">
        <f>IF(Specimen!I19="*  ..  ##34###34# ##334###334#","//--- END",Specimen!I19)</f>
        <v>//--- END</v>
      </c>
    </row>
    <row r="30" spans="3:3" x14ac:dyDescent="0.75">
      <c r="C30" s="40" t="str">
        <f>'Specimen-Map-1'!E1</f>
        <v>// -------------------------------------------------------------------------------</v>
      </c>
    </row>
    <row r="31" spans="3:3" x14ac:dyDescent="0.75">
      <c r="C31" s="41" t="str">
        <f>'Specimen-Map-1'!E2</f>
        <v>//  Map to FHIR R4</v>
      </c>
    </row>
    <row r="32" spans="3:3" x14ac:dyDescent="0.75">
      <c r="C32" s="41" t="str">
        <f>'Specimen-Map-1'!E3</f>
        <v>// -------------------------------------------------------------------------------</v>
      </c>
    </row>
    <row r="33" spans="3:7" x14ac:dyDescent="0.75">
      <c r="C33" s="19" t="str">
        <f>'Specimen-Map-1'!E4</f>
        <v>Mapping: eHNLabSpecimen2Fhir</v>
      </c>
    </row>
    <row r="34" spans="3:7" x14ac:dyDescent="0.75">
      <c r="C34" s="19" t="str">
        <f>'Specimen-Map-1'!E5</f>
        <v>Id: fhir</v>
      </c>
    </row>
    <row r="35" spans="3:7" x14ac:dyDescent="0.75">
      <c r="C35" s="19" t="str">
        <f>'Specimen-Map-1'!E6</f>
        <v>Title: ##34#eHN Lab Specimen model to FHIR R4 Map##34#</v>
      </c>
    </row>
    <row r="36" spans="3:7" x14ac:dyDescent="0.75">
      <c r="C36" s="19" t="str">
        <f>'Specimen-Map-1'!E7</f>
        <v>Source: Specimen-eHN</v>
      </c>
    </row>
    <row r="37" spans="3:7" x14ac:dyDescent="0.75">
      <c r="C37" s="19" t="str">
        <f>'Specimen-Map-1'!E8</f>
        <v>Target: ##34#hl7.org/fhir/r4##34#</v>
      </c>
    </row>
    <row r="39" spans="3:7" x14ac:dyDescent="0.75">
      <c r="C39" s="19" t="str">
        <f>'Specimen-Map-1'!E9</f>
        <v>* -&gt; ##34#to be mapped##34#</v>
      </c>
    </row>
    <row r="40" spans="3:7" x14ac:dyDescent="0.75">
      <c r="C40" s="19" t="str">
        <f>IF('Specimen-Map-1'!E10="*  -&gt; ##34###34#","// --END",'Specimen-Map-1'!E10)</f>
        <v>* identifier -&gt; ##34#to be mapped##34#</v>
      </c>
    </row>
    <row r="41" spans="3:7" x14ac:dyDescent="0.75">
      <c r="C41" s="19" t="str">
        <f>IF('Specimen-Map-1'!E11="*  -&gt; ##34###34#","// --END",'Specimen-Map-1'!E11)</f>
        <v>* speciesType -&gt; ##34#to be mapped##34#</v>
      </c>
    </row>
    <row r="42" spans="3:7" x14ac:dyDescent="0.75">
      <c r="C42" s="19" t="str">
        <f>IF('Specimen-Map-1'!E12="*  -&gt; ##34###34#","// --END",'Specimen-Map-1'!E12)</f>
        <v>* material -&gt; ##34#to be mapped##34#</v>
      </c>
    </row>
    <row r="43" spans="3:7" x14ac:dyDescent="0.75">
      <c r="C43" s="19" t="str">
        <f>IF('Specimen-Map-1'!E13="*  -&gt; ##34###34#","// --END",'Specimen-Map-1'!E13)</f>
        <v>* dateTime -&gt; ##34#to be mapped##34#</v>
      </c>
    </row>
    <row r="44" spans="3:7" x14ac:dyDescent="0.75">
      <c r="C44" s="19" t="str">
        <f>IF('Specimen-Map-1'!E14="*  -&gt; ##34###34#","// --END",'Specimen-Map-1'!E14)</f>
        <v>* anatomicLocation -&gt; ##34#to be mapped##34#</v>
      </c>
    </row>
    <row r="45" spans="3:7" x14ac:dyDescent="0.75">
      <c r="C45" s="19" t="str">
        <f>IF('Specimen-Map-1'!E15="*  -&gt; ##34###34#","// --END",'Specimen-Map-1'!E15)</f>
        <v>* morphology -&gt; ##34#to be mapped##34#</v>
      </c>
    </row>
    <row r="46" spans="3:7" x14ac:dyDescent="0.75">
      <c r="C46" s="19" t="str">
        <f>IF('Specimen-Map-1'!E16="*  -&gt; ##34###34#","// --END",'Specimen-Map-1'!E16)</f>
        <v>* sourceDevice -&gt; ##34#to be mapped##34#</v>
      </c>
    </row>
    <row r="47" spans="3:7" x14ac:dyDescent="0.75">
      <c r="C47" s="19" t="str">
        <f>IF('Specimen-Map-1'!E17="*  -&gt; ##34###34#","// --END",'Specimen-Map-1'!E17)</f>
        <v>* collectionMethod -&gt; ##34#to be mapped##34#</v>
      </c>
    </row>
    <row r="48" spans="3:7" x14ac:dyDescent="0.75">
      <c r="C48" s="19" t="str">
        <f>IF('Specimen-Map-1'!E18="*  -&gt; ##34###34#","// --END",'Specimen-Map-1'!E18)</f>
        <v>* receivedDateTime -&gt; ##34#to be mapped##34#</v>
      </c>
      <c r="G48" s="12"/>
    </row>
    <row r="49" spans="3:3" x14ac:dyDescent="0.75">
      <c r="C49" s="19" t="str">
        <f>IF('Specimen-Map-1'!E19="*  -&gt; ##34###34#","// --END",'Specimen-Map-1'!E19)</f>
        <v>// --END</v>
      </c>
    </row>
    <row r="50" spans="3:3" x14ac:dyDescent="0.75">
      <c r="C50" s="19" t="str">
        <f>IF('Specimen-Map-1'!E20="*  -&gt; ##34###34#","// --END",'Specimen-Map-1'!E20)</f>
        <v>// --END</v>
      </c>
    </row>
    <row r="51" spans="3:3" x14ac:dyDescent="0.75">
      <c r="C51" s="19"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502</v>
      </c>
      <c r="C4" s="21"/>
      <c r="D4" s="3"/>
      <c r="I4" s="33" t="str">
        <f>CONCATENATE("Logical: ",B4)</f>
        <v>Logical: ResultLabEhn</v>
      </c>
    </row>
    <row r="5" spans="1:11" x14ac:dyDescent="0.75">
      <c r="A5" s="25" t="s">
        <v>19</v>
      </c>
      <c r="B5" s="43" t="s">
        <v>503</v>
      </c>
      <c r="C5" s="21"/>
      <c r="D5" s="3"/>
      <c r="I5" s="33" t="str">
        <f>CONCATENATE("Id: ",B5)</f>
        <v>Id: Result</v>
      </c>
    </row>
    <row r="6" spans="1:11" x14ac:dyDescent="0.75">
      <c r="A6" s="27" t="s">
        <v>13</v>
      </c>
      <c r="B6" s="19" t="s">
        <v>534</v>
      </c>
      <c r="C6" s="21"/>
      <c r="D6" s="3"/>
      <c r="I6" s="34" t="str">
        <f>CONCATENATE("Title: ##34#",B6,"##34#")</f>
        <v>Title: ##34#Results data elements (A.5)##34#</v>
      </c>
    </row>
    <row r="7" spans="1:11" x14ac:dyDescent="0.75">
      <c r="A7" s="56" t="s">
        <v>5</v>
      </c>
      <c r="B7" s="19" t="s">
        <v>507</v>
      </c>
      <c r="C7" s="14"/>
      <c r="D7" s="2"/>
      <c r="E7" s="71"/>
      <c r="F7" s="4" t="s">
        <v>9</v>
      </c>
      <c r="G7" s="4" t="s">
        <v>10</v>
      </c>
      <c r="I7" s="34" t="str">
        <f>CONCATENATE("Description: "," ##334#",B7,"##334#",)</f>
        <v>Description:  ##334#A.5 Results data elements ##334#</v>
      </c>
    </row>
    <row r="8" spans="1:11" ht="29.5" x14ac:dyDescent="0.75">
      <c r="A8" s="18">
        <v>1</v>
      </c>
      <c r="B8" s="18" t="s">
        <v>535</v>
      </c>
      <c r="C8" s="19" t="s">
        <v>508</v>
      </c>
      <c r="D8" s="19" t="s">
        <v>508</v>
      </c>
      <c r="E8" s="18">
        <v>0</v>
      </c>
      <c r="F8" s="18">
        <v>1</v>
      </c>
      <c r="G8" s="18" t="s">
        <v>4</v>
      </c>
      <c r="H8" s="31"/>
      <c r="I8" s="42" t="str">
        <f>CONCATENATE("* ",B8, " ",E8,"..",F8," ",G8," ##34#",C8,"##34# ##334#",D8,"##334#")</f>
        <v>* narrative 0..1 BackboneElement ##34#A.5.1 Laboratory report narrative  ##34# ##334#A.5.1 Laboratory report narrative  ##334#</v>
      </c>
    </row>
    <row r="9" spans="1:11" ht="44.25" x14ac:dyDescent="0.75">
      <c r="A9" s="18">
        <v>2</v>
      </c>
      <c r="B9" s="18" t="s">
        <v>536</v>
      </c>
      <c r="C9" s="17" t="s">
        <v>509</v>
      </c>
      <c r="D9" s="19" t="s">
        <v>526</v>
      </c>
      <c r="E9" s="18">
        <v>0</v>
      </c>
      <c r="F9" s="18" t="s">
        <v>11</v>
      </c>
      <c r="G9" s="18" t="s">
        <v>539</v>
      </c>
      <c r="H9" s="31"/>
      <c r="I9" s="42" t="str">
        <f t="shared" ref="I9:I31" si="0">CONCATENATE("* ",B9, " ",E9,"..",F9," ",G9," ##34#",C9,"##34# ##334#",D9,"##334#")</f>
        <v>* narrative.report 0..* Narrative ##34#A.5.1.1 Narrative report##34# ##334#Entire report (textual summary inside the laboratory result report document) as issued by the laboratory.  - Preferred system(s): ##334#</v>
      </c>
    </row>
    <row r="10" spans="1:11" ht="44.25" x14ac:dyDescent="0.75">
      <c r="A10" s="18">
        <v>3</v>
      </c>
      <c r="B10" s="18" t="s">
        <v>537</v>
      </c>
      <c r="C10" s="19" t="s">
        <v>510</v>
      </c>
      <c r="D10" s="74" t="s">
        <v>527</v>
      </c>
      <c r="E10" s="18">
        <v>0</v>
      </c>
      <c r="F10" s="18" t="s">
        <v>11</v>
      </c>
      <c r="G10" s="18" t="s">
        <v>539</v>
      </c>
      <c r="H10" s="31"/>
      <c r="I10" s="42" t="str">
        <f t="shared" si="0"/>
        <v>* narrative.notes 0..* Narrative ##34#A.5.1.2 Comments, interpretation and recommendations##34# ##334#Comments, such as a textual interpretation or advice accompanying the result report, for example. - Preferred system(s): ##334#</v>
      </c>
    </row>
    <row r="11" spans="1:11" ht="44.25" x14ac:dyDescent="0.75">
      <c r="A11" s="73">
        <v>4</v>
      </c>
      <c r="B11" s="18" t="s">
        <v>538</v>
      </c>
      <c r="C11" s="62" t="s">
        <v>540</v>
      </c>
      <c r="D11" s="62" t="s">
        <v>511</v>
      </c>
      <c r="E11" s="73">
        <v>0</v>
      </c>
      <c r="F11" s="73" t="s">
        <v>11</v>
      </c>
      <c r="G11" s="18" t="s">
        <v>4</v>
      </c>
      <c r="H11" s="31"/>
      <c r="I11" s="42" t="str">
        <f t="shared" si="0"/>
        <v>* observation 0..* BackboneElement ##34#A.5.2 Observation details##34# ##334#A.5.2 Observation details (report could consist of multiple observations) ##334#</v>
      </c>
    </row>
    <row r="12" spans="1:11" ht="44.25" x14ac:dyDescent="0.75">
      <c r="A12" s="18">
        <v>5</v>
      </c>
      <c r="B12" s="18" t="s">
        <v>541</v>
      </c>
      <c r="C12" s="62" t="s">
        <v>512</v>
      </c>
      <c r="D12" s="19" t="s">
        <v>528</v>
      </c>
      <c r="E12" s="73">
        <v>0</v>
      </c>
      <c r="F12" s="73" t="s">
        <v>11</v>
      </c>
      <c r="G12" s="18" t="s">
        <v>1</v>
      </c>
      <c r="H12" s="31"/>
      <c r="I12" s="42" t="str">
        <f t="shared" si="0"/>
        <v>* observation.dateTime 0..* CodeableConcept ##34#A.5.2.1 Observation date##34# ##334#Date and time of the observation - Preferred system(s): ISO 8601##334#</v>
      </c>
    </row>
    <row r="13" spans="1:11" ht="59" x14ac:dyDescent="0.75">
      <c r="A13" s="18">
        <v>6</v>
      </c>
      <c r="B13" s="18" t="s">
        <v>542</v>
      </c>
      <c r="C13" s="19" t="s">
        <v>513</v>
      </c>
      <c r="D13" s="62" t="s">
        <v>543</v>
      </c>
      <c r="E13" s="73">
        <v>0</v>
      </c>
      <c r="F13" s="73" t="s">
        <v>11</v>
      </c>
      <c r="G13" s="18" t="s">
        <v>1</v>
      </c>
      <c r="H13" s="31"/>
      <c r="I13" s="42"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18">
        <v>7</v>
      </c>
      <c r="B14" s="18" t="s">
        <v>544</v>
      </c>
      <c r="C14" s="18" t="s">
        <v>514</v>
      </c>
      <c r="D14" s="19" t="s">
        <v>529</v>
      </c>
      <c r="E14" s="73">
        <v>0</v>
      </c>
      <c r="F14" s="73" t="s">
        <v>11</v>
      </c>
      <c r="G14" s="18" t="s">
        <v>3</v>
      </c>
      <c r="H14" s="31"/>
      <c r="I14" s="42" t="str">
        <f t="shared" si="0"/>
        <v>* observation.code.name 0..* string ##34#A.5.2.3.1 Observation name##34# ##334#Full name of the observation according to the used test coding standard. - Preferred system(s): ##334#</v>
      </c>
    </row>
    <row r="15" spans="1:11" ht="44.25" x14ac:dyDescent="0.75">
      <c r="A15" s="4">
        <v>8</v>
      </c>
      <c r="B15" s="18" t="s">
        <v>545</v>
      </c>
      <c r="C15" s="18" t="s">
        <v>515</v>
      </c>
      <c r="D15" s="19" t="s">
        <v>530</v>
      </c>
      <c r="E15" s="4">
        <v>0</v>
      </c>
      <c r="F15" s="4" t="s">
        <v>11</v>
      </c>
      <c r="G15" s="18" t="s">
        <v>3</v>
      </c>
      <c r="H15" s="82"/>
      <c r="I15" s="42" t="str">
        <f t="shared" si="0"/>
        <v>* observation.code.originalName 0..* string ##34#A.5.2.3.2 Observation original name##34# ##334#Original (conventional) name of the observation as used by the laboratory - Preferred system(s): ##334#</v>
      </c>
      <c r="J15" s="23"/>
      <c r="K15" s="18"/>
    </row>
    <row r="16" spans="1:11" ht="44.25" x14ac:dyDescent="0.75">
      <c r="A16" s="18">
        <v>9</v>
      </c>
      <c r="B16" s="18" t="s">
        <v>546</v>
      </c>
      <c r="C16" s="18" t="s">
        <v>516</v>
      </c>
      <c r="D16" s="19" t="s">
        <v>531</v>
      </c>
      <c r="E16" s="18">
        <v>0</v>
      </c>
      <c r="F16" s="18" t="s">
        <v>11</v>
      </c>
      <c r="G16" s="18" t="s">
        <v>3</v>
      </c>
      <c r="H16" s="18"/>
      <c r="I16" s="42" t="str">
        <f t="shared" si="0"/>
        <v>* observation.code.displayName 0..* string ##34#A.5.2.3.3 Observation display name##34# ##334#Simplified (short name of the observation) for display. - Preferred system(s): ##334#</v>
      </c>
    </row>
    <row r="17" spans="1:9" ht="44.25" x14ac:dyDescent="0.75">
      <c r="A17" s="18">
        <v>10</v>
      </c>
      <c r="B17" s="18" t="s">
        <v>547</v>
      </c>
      <c r="C17" s="18" t="s">
        <v>517</v>
      </c>
      <c r="D17" s="19" t="s">
        <v>560</v>
      </c>
      <c r="E17" s="18">
        <v>0</v>
      </c>
      <c r="F17" s="18" t="s">
        <v>11</v>
      </c>
      <c r="G17" s="18" t="s">
        <v>1</v>
      </c>
      <c r="H17" s="18"/>
      <c r="I17" s="42" t="str">
        <f t="shared" si="0"/>
        <v>* observation.method 0..* CodeableConcept ##34#A.5.2.4 Observation method##34# ##334#Observation method (measurement principle) to obtain the result.
- Preferred system(s): SNOMED CT##334#</v>
      </c>
    </row>
    <row r="18" spans="1:9" ht="59" x14ac:dyDescent="0.75">
      <c r="A18" s="18">
        <v>11</v>
      </c>
      <c r="B18" s="18" t="s">
        <v>548</v>
      </c>
      <c r="C18" s="18" t="s">
        <v>518</v>
      </c>
      <c r="D18" s="19" t="s">
        <v>549</v>
      </c>
      <c r="E18" s="18">
        <v>0</v>
      </c>
      <c r="F18" s="18" t="s">
        <v>11</v>
      </c>
      <c r="G18" s="18" t="s">
        <v>1</v>
      </c>
      <c r="H18" s="18"/>
      <c r="I18" s="42" t="str">
        <f t="shared" si="0"/>
        <v>* observation.device 0..* CodeableConcept ##34#A.5.2.5 Observation device##34# ##334#Device (analyser), laboratory test kit and used calibrator information (identifier, type, name, model, manufacturer)
- Preferred system(s): SNOMED CT
 - Preferred system(s): EMDN##334#</v>
      </c>
    </row>
    <row r="19" spans="1:9" ht="14.75" customHeight="1" x14ac:dyDescent="0.75">
      <c r="A19" s="4">
        <v>12</v>
      </c>
      <c r="B19" s="18" t="s">
        <v>550</v>
      </c>
      <c r="C19" s="18" t="s">
        <v>519</v>
      </c>
      <c r="D19" s="19" t="s">
        <v>552</v>
      </c>
      <c r="E19" s="18">
        <v>0</v>
      </c>
      <c r="F19" s="18" t="s">
        <v>11</v>
      </c>
      <c r="G19" s="18" t="s">
        <v>4</v>
      </c>
      <c r="H19" s="18"/>
      <c r="I19" s="42" t="str">
        <f t="shared" si="0"/>
        <v>* observation.order 0..* BackboneElement ##34#A.5.2.8 Order##34# ##334#Identifies order and order placer this observation belongs to.##334#</v>
      </c>
    </row>
    <row r="20" spans="1:9" ht="14.75" customHeight="1" x14ac:dyDescent="0.75">
      <c r="A20" s="18">
        <v>13</v>
      </c>
      <c r="B20" s="18" t="s">
        <v>551</v>
      </c>
      <c r="C20" s="18" t="s">
        <v>520</v>
      </c>
      <c r="D20" s="19" t="s">
        <v>532</v>
      </c>
      <c r="E20" s="18">
        <v>0</v>
      </c>
      <c r="F20" s="18" t="s">
        <v>11</v>
      </c>
      <c r="G20" s="18" t="s">
        <v>4</v>
      </c>
      <c r="H20" s="18"/>
      <c r="I20" s="42" t="str">
        <f t="shared" si="0"/>
        <v>* observation.performer 0..* BackboneElement ##34#A.5.2.9 Performer##34# ##334#Identifies the originator/author and provides provenance information about the source of the results data that may have not originated with the source of the whole Laboratory Report document.  - Preferred system(s): ##334#</v>
      </c>
    </row>
    <row r="21" spans="1:9" ht="14.75" customHeight="1" x14ac:dyDescent="0.75">
      <c r="A21" s="18">
        <v>14</v>
      </c>
      <c r="B21" s="18" t="s">
        <v>553</v>
      </c>
      <c r="C21" s="18" t="s">
        <v>521</v>
      </c>
      <c r="D21" s="19" t="s">
        <v>533</v>
      </c>
      <c r="E21" s="18">
        <v>0</v>
      </c>
      <c r="F21" s="18" t="s">
        <v>11</v>
      </c>
      <c r="G21" s="18" t="s">
        <v>4</v>
      </c>
      <c r="H21" s="18"/>
      <c r="I21" s="42" t="str">
        <f t="shared" si="0"/>
        <v>* observation.reporter 0..* BackboneElement ##34#A.5.2.10 Reporter##34# ##334#With certain observation results, e.g. there may also be an interpreter or a person responsible for validation. - Preferred system(s): ##334#</v>
      </c>
    </row>
    <row r="22" spans="1:9" ht="103.25" x14ac:dyDescent="0.75">
      <c r="A22" s="18">
        <v>15</v>
      </c>
      <c r="B22" s="18" t="s">
        <v>554</v>
      </c>
      <c r="C22" s="18" t="s">
        <v>522</v>
      </c>
      <c r="D22" s="19" t="s">
        <v>555</v>
      </c>
      <c r="E22" s="18">
        <v>0</v>
      </c>
      <c r="F22" s="18" t="s">
        <v>11</v>
      </c>
      <c r="G22" s="18" t="s">
        <v>4</v>
      </c>
      <c r="H22" s="18"/>
      <c r="I22" s="42"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44.25" x14ac:dyDescent="0.75">
      <c r="A23" s="18">
        <v>18</v>
      </c>
      <c r="B23" s="18" t="s">
        <v>557</v>
      </c>
      <c r="C23" s="18" t="s">
        <v>523</v>
      </c>
      <c r="D23" s="19" t="s">
        <v>556</v>
      </c>
      <c r="E23" s="18">
        <v>0</v>
      </c>
      <c r="F23" s="18" t="s">
        <v>11</v>
      </c>
      <c r="G23" s="18" t="s">
        <v>1</v>
      </c>
      <c r="H23" s="18"/>
      <c r="I23" s="42"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14.75" customHeight="1" x14ac:dyDescent="0.75">
      <c r="A24" s="18">
        <v>21</v>
      </c>
      <c r="B24" s="18" t="s">
        <v>558</v>
      </c>
      <c r="C24" s="18" t="s">
        <v>524</v>
      </c>
      <c r="D24" s="19" t="s">
        <v>249</v>
      </c>
      <c r="E24" s="18">
        <v>0</v>
      </c>
      <c r="F24" s="18" t="s">
        <v>11</v>
      </c>
      <c r="G24" s="18" t="s">
        <v>539</v>
      </c>
      <c r="H24" s="18"/>
      <c r="I24" s="42" t="str">
        <f t="shared" si="0"/>
        <v>* observation.description 0..* Narrative ##34#A.5.2.13 Result description##34# ##334#Comments and narrative representation of the observation result and findings.##334#</v>
      </c>
    </row>
    <row r="25" spans="1:9" ht="14.75" customHeight="1" x14ac:dyDescent="0.75">
      <c r="A25" s="18">
        <v>22</v>
      </c>
      <c r="B25" s="18" t="s">
        <v>559</v>
      </c>
      <c r="C25" s="18" t="s">
        <v>525</v>
      </c>
      <c r="D25" s="19" t="s">
        <v>252</v>
      </c>
      <c r="E25" s="18">
        <v>0</v>
      </c>
      <c r="F25" s="18" t="s">
        <v>11</v>
      </c>
      <c r="G25" s="18" t="s">
        <v>4</v>
      </c>
      <c r="H25" s="18"/>
      <c r="I25" s="42" t="str">
        <f t="shared" si="0"/>
        <v>* observation.accreditationStatus 0..* BackboneElement ##34#A.5.2.14 Accreditation status##34# ##334#Accreditation status of the laboratory for the particular observation.##334#</v>
      </c>
    </row>
    <row r="26" spans="1:9" ht="14.75" customHeight="1" x14ac:dyDescent="0.75">
      <c r="A26" s="18"/>
      <c r="B26" s="18"/>
      <c r="C26" s="18"/>
      <c r="D26" s="19"/>
      <c r="E26" s="18"/>
      <c r="F26" s="18"/>
      <c r="G26" s="18"/>
      <c r="H26" s="18"/>
      <c r="I26" s="42" t="str">
        <f t="shared" si="0"/>
        <v>*  ..  ##34###34# ##334###334#</v>
      </c>
    </row>
    <row r="27" spans="1:9" ht="14.75" customHeight="1" x14ac:dyDescent="0.75">
      <c r="A27" s="4"/>
      <c r="B27" s="18"/>
      <c r="C27" s="18"/>
      <c r="D27" s="19"/>
      <c r="E27" s="18"/>
      <c r="F27" s="18"/>
      <c r="G27" s="18"/>
      <c r="H27" s="18"/>
      <c r="I27" s="42" t="str">
        <f t="shared" si="0"/>
        <v>*  ..  ##34###34# ##334###334#</v>
      </c>
    </row>
    <row r="28" spans="1:9" ht="15.5" customHeight="1" x14ac:dyDescent="0.75">
      <c r="A28" s="18"/>
      <c r="B28" s="18"/>
      <c r="C28" s="18"/>
      <c r="D28" s="19"/>
      <c r="E28" s="18"/>
      <c r="F28" s="18"/>
      <c r="G28" s="18"/>
      <c r="H28" s="18"/>
      <c r="I28" s="42" t="str">
        <f t="shared" si="0"/>
        <v>*  ..  ##34###34# ##334###334#</v>
      </c>
    </row>
    <row r="29" spans="1:9" x14ac:dyDescent="0.75">
      <c r="A29" s="18"/>
      <c r="B29" s="18"/>
      <c r="C29" s="18"/>
      <c r="D29" s="19"/>
      <c r="E29" s="18"/>
      <c r="F29" s="18"/>
      <c r="G29" s="18"/>
      <c r="H29" s="18"/>
      <c r="I29" s="42" t="str">
        <f t="shared" si="0"/>
        <v>*  ..  ##34###34# ##334###334#</v>
      </c>
    </row>
    <row r="30" spans="1:9" x14ac:dyDescent="0.75">
      <c r="A30" s="18"/>
      <c r="B30" s="18"/>
      <c r="C30" s="18"/>
      <c r="D30" s="19"/>
      <c r="E30" s="18"/>
      <c r="F30" s="18"/>
      <c r="G30" s="18"/>
      <c r="H30" s="18"/>
      <c r="I30" s="42" t="str">
        <f t="shared" si="0"/>
        <v>*  ..  ##34###34# ##334###334#</v>
      </c>
    </row>
    <row r="31" spans="1:9" x14ac:dyDescent="0.75">
      <c r="A31" s="18"/>
      <c r="B31" s="18"/>
      <c r="C31" s="18"/>
      <c r="D31" s="19"/>
      <c r="E31" s="18"/>
      <c r="F31" s="18"/>
      <c r="G31" s="18"/>
      <c r="H31" s="18"/>
      <c r="I31" s="42" t="str">
        <f t="shared" si="0"/>
        <v>*  ..  ##34###34# ##334###334#</v>
      </c>
    </row>
    <row r="32" spans="1:9" x14ac:dyDescent="0.75">
      <c r="A32" s="18"/>
      <c r="B32" s="18"/>
      <c r="C32" s="18"/>
      <c r="D32" s="19"/>
      <c r="E32" s="18"/>
      <c r="F32" s="18"/>
      <c r="G32" s="18"/>
      <c r="H32" s="18"/>
      <c r="I32" s="19"/>
    </row>
    <row r="35" spans="2:9" ht="15.5" thickBot="1" x14ac:dyDescent="0.9"/>
    <row r="36" spans="2:9" ht="15.5" customHeight="1" thickBot="1" x14ac:dyDescent="0.9">
      <c r="B36" s="16" t="str">
        <f t="shared" ref="B36:B62" si="1">CONCATENATE(C36," ",D36)</f>
        <v xml:space="preserve">A.5 Results data elements </v>
      </c>
      <c r="C36" s="95" t="s">
        <v>198</v>
      </c>
      <c r="D36" s="96"/>
      <c r="E36" s="96"/>
      <c r="F36" s="97"/>
    </row>
    <row r="37" spans="2:9" ht="16.75" thickBot="1" x14ac:dyDescent="0.9">
      <c r="B37" s="16" t="str">
        <f t="shared" si="1"/>
        <v xml:space="preserve">A.5.1 Laboratory report narrative  </v>
      </c>
      <c r="C37" s="95" t="s">
        <v>199</v>
      </c>
      <c r="D37" s="96"/>
      <c r="E37" s="96"/>
      <c r="F37" s="97"/>
    </row>
    <row r="38" spans="2:9" ht="64.75" thickBot="1" x14ac:dyDescent="0.9">
      <c r="B38" s="16" t="str">
        <f t="shared" si="1"/>
        <v>A.5.1.1 Narrative report</v>
      </c>
      <c r="C38" s="81" t="s">
        <v>200</v>
      </c>
      <c r="D38" s="48" t="s">
        <v>201</v>
      </c>
      <c r="E38" s="46" t="s">
        <v>202</v>
      </c>
      <c r="F38" s="52"/>
      <c r="I38" s="17" t="str">
        <f t="shared" ref="I38:I62" si="2">CONCATENATE(E38," - Preferred system(s): ",F38)</f>
        <v xml:space="preserve">Entire report (textual summary inside the laboratory result report document) as issued by the laboratory.  - Preferred system(s): </v>
      </c>
    </row>
    <row r="39" spans="2:9" ht="64.75" thickBot="1" x14ac:dyDescent="0.9">
      <c r="B39" s="16" t="str">
        <f t="shared" si="1"/>
        <v>A.5.1.2 Comments, interpretation and recommendations</v>
      </c>
      <c r="C39" s="81" t="s">
        <v>203</v>
      </c>
      <c r="D39" s="48" t="s">
        <v>204</v>
      </c>
      <c r="E39" s="46" t="s">
        <v>205</v>
      </c>
      <c r="F39" s="52"/>
      <c r="I39" s="17" t="str">
        <f t="shared" si="2"/>
        <v xml:space="preserve">Comments, such as a textual interpretation or advice accompanying the result report, for example. - Preferred system(s): </v>
      </c>
    </row>
    <row r="40" spans="2:9" ht="16.75" thickBot="1" x14ac:dyDescent="0.9">
      <c r="B40" s="16" t="str">
        <f t="shared" si="1"/>
        <v xml:space="preserve">A.5.2 Observation details (report could consist of multiple observations) </v>
      </c>
      <c r="C40" s="95" t="s">
        <v>206</v>
      </c>
      <c r="D40" s="96"/>
      <c r="E40" s="96"/>
      <c r="F40" s="97"/>
      <c r="I40" s="17" t="str">
        <f t="shared" si="2"/>
        <v xml:space="preserve"> - Preferred system(s): </v>
      </c>
    </row>
    <row r="41" spans="2:9" ht="32.75" thickBot="1" x14ac:dyDescent="0.9">
      <c r="B41" s="16" t="str">
        <f t="shared" si="1"/>
        <v>A.5.2.1 Observation date</v>
      </c>
      <c r="C41" s="81" t="s">
        <v>207</v>
      </c>
      <c r="D41" s="48" t="s">
        <v>208</v>
      </c>
      <c r="E41" s="46" t="s">
        <v>209</v>
      </c>
      <c r="F41" s="48" t="s">
        <v>113</v>
      </c>
      <c r="I41" s="17" t="str">
        <f t="shared" si="2"/>
        <v>Date and time of the observation - Preferred system(s): ISO 8601</v>
      </c>
    </row>
    <row r="42" spans="2:9" ht="29.5" x14ac:dyDescent="0.75">
      <c r="B42" s="16" t="str">
        <f t="shared" si="1"/>
        <v>A.5.2.3 Observation code</v>
      </c>
      <c r="C42" s="89" t="s">
        <v>210</v>
      </c>
      <c r="D42" s="92" t="s">
        <v>211</v>
      </c>
      <c r="E42" s="89" t="s">
        <v>212</v>
      </c>
      <c r="F42" s="53" t="s">
        <v>130</v>
      </c>
      <c r="I42" s="17" t="str">
        <f t="shared" si="2"/>
        <v>Code representing the observation using the agreed code systems. - Preferred system(s): LOINC</v>
      </c>
    </row>
    <row r="43" spans="2:9" ht="15.5" customHeight="1" x14ac:dyDescent="0.75">
      <c r="B43" s="16" t="str">
        <f t="shared" si="1"/>
        <v xml:space="preserve"> </v>
      </c>
      <c r="C43" s="90"/>
      <c r="D43" s="93"/>
      <c r="E43" s="90"/>
      <c r="F43" s="53" t="s">
        <v>213</v>
      </c>
      <c r="I43" s="17" t="str">
        <f t="shared" si="2"/>
        <v xml:space="preserve"> - Preferred system(s): NPU</v>
      </c>
    </row>
    <row r="44" spans="2:9" ht="80" customHeight="1" thickBot="1" x14ac:dyDescent="0.9">
      <c r="B44" s="16" t="str">
        <f t="shared" si="1"/>
        <v xml:space="preserve"> </v>
      </c>
      <c r="C44" s="91"/>
      <c r="D44" s="94"/>
      <c r="E44" s="91"/>
      <c r="F44" s="48" t="s">
        <v>167</v>
      </c>
      <c r="I44" s="17" t="str">
        <f t="shared" si="2"/>
        <v xml:space="preserve"> - Preferred system(s): SNOMED CT</v>
      </c>
    </row>
    <row r="45" spans="2:9" ht="48.75" thickBot="1" x14ac:dyDescent="0.9">
      <c r="B45" s="16" t="str">
        <f t="shared" si="1"/>
        <v>A.5.2.3.1 Observation name</v>
      </c>
      <c r="C45" s="81" t="s">
        <v>214</v>
      </c>
      <c r="D45" s="48" t="s">
        <v>215</v>
      </c>
      <c r="E45" s="46" t="s">
        <v>216</v>
      </c>
      <c r="F45" s="47"/>
      <c r="I45" s="17" t="str">
        <f t="shared" si="2"/>
        <v xml:space="preserve">Full name of the observation according to the used test coding standard. - Preferred system(s): </v>
      </c>
    </row>
    <row r="46" spans="2:9" ht="48.75" customHeight="1" thickBot="1" x14ac:dyDescent="0.9">
      <c r="B46" s="16" t="str">
        <f t="shared" si="1"/>
        <v>A.5.2.3.2 Observation original name</v>
      </c>
      <c r="C46" s="81" t="s">
        <v>217</v>
      </c>
      <c r="D46" s="48" t="s">
        <v>218</v>
      </c>
      <c r="E46" s="46" t="s">
        <v>219</v>
      </c>
      <c r="F46" s="47"/>
      <c r="I46" s="17" t="str">
        <f t="shared" si="2"/>
        <v xml:space="preserve">Original (conventional) name of the observation as used by the laboratory - Preferred system(s): </v>
      </c>
    </row>
    <row r="47" spans="2:9" ht="32.75" thickBot="1" x14ac:dyDescent="0.9">
      <c r="B47" s="16" t="str">
        <f t="shared" si="1"/>
        <v>A.5.2.3.3 Observation display name</v>
      </c>
      <c r="C47" s="81" t="s">
        <v>220</v>
      </c>
      <c r="D47" s="48" t="s">
        <v>221</v>
      </c>
      <c r="E47" s="46" t="s">
        <v>222</v>
      </c>
      <c r="F47" s="47"/>
      <c r="I47" s="17" t="str">
        <f t="shared" si="2"/>
        <v xml:space="preserve">Simplified (short name of the observation) for display. - Preferred system(s): </v>
      </c>
    </row>
    <row r="48" spans="2:9" ht="48.75" thickBot="1" x14ac:dyDescent="0.9">
      <c r="B48" s="16" t="str">
        <f t="shared" si="1"/>
        <v>A.5.2.4 Observation method</v>
      </c>
      <c r="C48" s="81" t="s">
        <v>223</v>
      </c>
      <c r="D48" s="48" t="s">
        <v>224</v>
      </c>
      <c r="E48" s="46" t="s">
        <v>225</v>
      </c>
      <c r="F48" s="48" t="s">
        <v>167</v>
      </c>
      <c r="I48" s="17" t="str">
        <f t="shared" si="2"/>
        <v>Observation method (measurement principle) to obtain the result. - Preferred system(s): SNOMED CT</v>
      </c>
    </row>
    <row r="49" spans="2:9" ht="44.25" x14ac:dyDescent="0.75">
      <c r="B49" s="16" t="str">
        <f t="shared" si="1"/>
        <v>A.5.2.5 Observation device</v>
      </c>
      <c r="C49" s="89" t="s">
        <v>226</v>
      </c>
      <c r="D49" s="92" t="s">
        <v>227</v>
      </c>
      <c r="E49" s="89" t="s">
        <v>228</v>
      </c>
      <c r="F49" s="53" t="s">
        <v>167</v>
      </c>
      <c r="I49" s="17" t="str">
        <f t="shared" si="2"/>
        <v>Device (analyser), laboratory test kit and used calibrator information (identifier, type, name, model, manufacturer) - Preferred system(s): SNOMED CT</v>
      </c>
    </row>
    <row r="50" spans="2:9" x14ac:dyDescent="0.75">
      <c r="B50" s="16" t="str">
        <f t="shared" si="1"/>
        <v xml:space="preserve"> </v>
      </c>
      <c r="C50" s="90"/>
      <c r="D50" s="93"/>
      <c r="E50" s="90"/>
      <c r="F50" s="50"/>
      <c r="I50" s="17" t="str">
        <f t="shared" si="2"/>
        <v xml:space="preserve"> - Preferred system(s): </v>
      </c>
    </row>
    <row r="51" spans="2:9" ht="16.75" thickBot="1" x14ac:dyDescent="0.9">
      <c r="B51" s="16" t="str">
        <f t="shared" si="1"/>
        <v xml:space="preserve"> </v>
      </c>
      <c r="C51" s="91"/>
      <c r="D51" s="94"/>
      <c r="E51" s="91"/>
      <c r="F51" s="48" t="s">
        <v>191</v>
      </c>
      <c r="I51" s="17" t="str">
        <f t="shared" si="2"/>
        <v xml:space="preserve"> - Preferred system(s): EMDN</v>
      </c>
    </row>
    <row r="52" spans="2:9" ht="32.75" thickBot="1" x14ac:dyDescent="0.9">
      <c r="B52" s="16" t="str">
        <f t="shared" si="1"/>
        <v>A.5.2.8 Order</v>
      </c>
      <c r="C52" s="81" t="s">
        <v>229</v>
      </c>
      <c r="D52" s="48" t="s">
        <v>230</v>
      </c>
      <c r="E52" s="46" t="s">
        <v>231</v>
      </c>
      <c r="F52" s="47"/>
      <c r="I52" s="17" t="str">
        <f t="shared" si="2"/>
        <v xml:space="preserve">Identifies order and order placer this observation belongs to.  - Preferred system(s): </v>
      </c>
    </row>
    <row r="53" spans="2:9" ht="112.75" thickBot="1" x14ac:dyDescent="0.9">
      <c r="B53" s="16" t="str">
        <f t="shared" si="1"/>
        <v>A.5.2.9 Performer</v>
      </c>
      <c r="C53" s="81" t="s">
        <v>232</v>
      </c>
      <c r="D53" s="48" t="s">
        <v>233</v>
      </c>
      <c r="E53" s="46" t="s">
        <v>234</v>
      </c>
      <c r="F53" s="47"/>
      <c r="I53" s="17"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s="16" t="str">
        <f t="shared" si="1"/>
        <v>A.5.2.10 Reporter</v>
      </c>
      <c r="C54" s="81" t="s">
        <v>235</v>
      </c>
      <c r="D54" s="48" t="s">
        <v>236</v>
      </c>
      <c r="E54" s="46" t="s">
        <v>237</v>
      </c>
      <c r="F54" s="47"/>
      <c r="I54" s="17" t="str">
        <f t="shared" si="2"/>
        <v xml:space="preserve">With certain observation results, e.g. there may also be an interpreter or a person responsible for validation. - Preferred system(s): </v>
      </c>
    </row>
    <row r="55" spans="2:9" ht="176" x14ac:dyDescent="0.75">
      <c r="B55" s="16" t="str">
        <f t="shared" si="1"/>
        <v>A.5.2.11 Observation result</v>
      </c>
      <c r="C55" s="89" t="s">
        <v>238</v>
      </c>
      <c r="D55" s="92" t="s">
        <v>239</v>
      </c>
      <c r="E55" s="89" t="s">
        <v>240</v>
      </c>
      <c r="F55" s="53" t="s">
        <v>241</v>
      </c>
      <c r="I55" s="17"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s="16" t="str">
        <f t="shared" si="1"/>
        <v xml:space="preserve"> </v>
      </c>
      <c r="C56" s="90"/>
      <c r="D56" s="93"/>
      <c r="E56" s="90"/>
      <c r="F56" s="54"/>
      <c r="I56" s="17" t="str">
        <f t="shared" si="2"/>
        <v xml:space="preserve"> - Preferred system(s): </v>
      </c>
    </row>
    <row r="57" spans="2:9" ht="48.75" thickBot="1" x14ac:dyDescent="0.9">
      <c r="B57" s="16" t="str">
        <f t="shared" si="1"/>
        <v xml:space="preserve"> </v>
      </c>
      <c r="C57" s="91"/>
      <c r="D57" s="94"/>
      <c r="E57" s="91"/>
      <c r="F57" s="48" t="s">
        <v>242</v>
      </c>
      <c r="I57" s="17" t="str">
        <f t="shared" si="2"/>
        <v xml:space="preserve"> - Preferred system(s): UCUM (for units)</v>
      </c>
    </row>
    <row r="58" spans="2:9" ht="32" x14ac:dyDescent="0.75">
      <c r="B58" s="16" t="str">
        <f t="shared" si="1"/>
        <v>A.5.2.12 Observation interpretation</v>
      </c>
      <c r="C58" s="89" t="s">
        <v>243</v>
      </c>
      <c r="D58" s="92" t="s">
        <v>244</v>
      </c>
      <c r="E58" s="89" t="s">
        <v>245</v>
      </c>
      <c r="F58" s="53" t="s">
        <v>167</v>
      </c>
      <c r="I58" s="17" t="str">
        <f t="shared" si="2"/>
        <v>Information about reference intervals and result interpretation. - Preferred system(s): SNOMED CT</v>
      </c>
    </row>
    <row r="59" spans="2:9" x14ac:dyDescent="0.75">
      <c r="B59" s="16" t="str">
        <f t="shared" si="1"/>
        <v xml:space="preserve"> </v>
      </c>
      <c r="C59" s="90"/>
      <c r="D59" s="93"/>
      <c r="E59" s="90"/>
      <c r="F59" s="50"/>
      <c r="I59" s="17" t="str">
        <f t="shared" si="2"/>
        <v xml:space="preserve"> - Preferred system(s): </v>
      </c>
    </row>
    <row r="60" spans="2:9" ht="112.75" thickBot="1" x14ac:dyDescent="0.9">
      <c r="B60" s="16" t="str">
        <f t="shared" si="1"/>
        <v xml:space="preserve"> </v>
      </c>
      <c r="C60" s="91"/>
      <c r="D60" s="94"/>
      <c r="E60" s="91"/>
      <c r="F60" s="48" t="s">
        <v>246</v>
      </c>
      <c r="I60" s="17" t="str">
        <f t="shared" si="2"/>
        <v xml:space="preserve"> - Preferred system(s): HL7 v3 Code System ObservationInterpretation</v>
      </c>
    </row>
    <row r="61" spans="2:9" ht="48.75" thickBot="1" x14ac:dyDescent="0.9">
      <c r="B61" s="16" t="str">
        <f t="shared" si="1"/>
        <v>A.5.2.13 Result description</v>
      </c>
      <c r="C61" s="81" t="s">
        <v>247</v>
      </c>
      <c r="D61" s="48" t="s">
        <v>248</v>
      </c>
      <c r="E61" s="46" t="s">
        <v>249</v>
      </c>
      <c r="F61" s="47"/>
      <c r="I61" s="17" t="str">
        <f t="shared" si="2"/>
        <v xml:space="preserve">Comments and narrative representation of the observation result and findings. - Preferred system(s): </v>
      </c>
    </row>
    <row r="62" spans="2:9" ht="48.75" thickBot="1" x14ac:dyDescent="0.9">
      <c r="B62" s="16" t="str">
        <f t="shared" si="1"/>
        <v>A.5.2.14 Accreditation status</v>
      </c>
      <c r="C62" s="81" t="s">
        <v>250</v>
      </c>
      <c r="D62" s="48" t="s">
        <v>251</v>
      </c>
      <c r="E62" s="46" t="s">
        <v>252</v>
      </c>
      <c r="F62" s="47"/>
      <c r="I62" s="17"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36"/>
  <sheetViews>
    <sheetView workbookViewId="0">
      <selection activeCell="E32" sqref="E32"/>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504</v>
      </c>
      <c r="E4" s="36" t="str">
        <f>CONCATENATE("Mapping: ",C4)</f>
        <v>Mapping: eHNLabResult2Fhir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505</v>
      </c>
      <c r="E6" s="37" t="str">
        <f>CONCATENATE("Title: ##34#",C6,"##34#")</f>
        <v>Title: ##34#eHN Lab Result model to FHIR R4 Map##34#</v>
      </c>
      <c r="G6" s="17" t="s">
        <v>22</v>
      </c>
      <c r="H6" s="12"/>
      <c r="I6" s="12"/>
      <c r="J6" s="12"/>
      <c r="K6" s="12"/>
      <c r="L6" s="12"/>
      <c r="M6" s="12"/>
      <c r="N6" s="12"/>
      <c r="O6" s="12"/>
    </row>
    <row r="7" spans="1:15" ht="15.5" thickBot="1" x14ac:dyDescent="0.9">
      <c r="B7" s="15" t="s">
        <v>35</v>
      </c>
      <c r="C7" s="13" t="str">
        <f>B9</f>
        <v>Result</v>
      </c>
      <c r="E7" s="37" t="str">
        <f>CONCATENATE("Source: ",C7)</f>
        <v>Source: Result</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Results!B5</f>
        <v>Result</v>
      </c>
      <c r="C9" s="9" t="s">
        <v>364</v>
      </c>
      <c r="E9" s="5" t="str">
        <f>CONCATENATE("* -&gt; ##34#",C9,"##34#")</f>
        <v>* -&gt; ##34#to be mapped##34#</v>
      </c>
      <c r="H9" s="12"/>
      <c r="I9" s="12"/>
      <c r="J9" s="12"/>
      <c r="K9" s="12"/>
      <c r="L9" s="12"/>
      <c r="M9" s="12"/>
      <c r="N9" s="12"/>
      <c r="O9" s="12"/>
    </row>
    <row r="10" spans="1:15" x14ac:dyDescent="0.75">
      <c r="A10" s="18">
        <v>1</v>
      </c>
      <c r="B10" s="18" t="str">
        <f>Results!B8</f>
        <v>narrative</v>
      </c>
      <c r="C10" s="18" t="s">
        <v>364</v>
      </c>
      <c r="E10" s="19" t="str">
        <f t="shared" ref="E10:E12" si="0">IF(B10=0,"*  -&gt; ##34###34#",CONCATENATE("* ",B10," -&gt; ##34#",C10,"##34#"))</f>
        <v>* narrative -&gt; ##34#to be mapped##34#</v>
      </c>
      <c r="G10" s="17" t="s">
        <v>25</v>
      </c>
      <c r="H10" s="12"/>
      <c r="I10" s="12"/>
      <c r="J10" s="12"/>
      <c r="K10" s="12"/>
      <c r="L10" s="12"/>
      <c r="M10" s="12"/>
      <c r="N10" s="12"/>
      <c r="O10" s="12"/>
    </row>
    <row r="11" spans="1:15" x14ac:dyDescent="0.75">
      <c r="A11" s="18">
        <v>2</v>
      </c>
      <c r="B11" s="18" t="str">
        <f>Results!B9</f>
        <v>narrative.report</v>
      </c>
      <c r="C11" s="18" t="s">
        <v>364</v>
      </c>
      <c r="E11" s="19" t="str">
        <f t="shared" si="0"/>
        <v>* narrative.report -&gt; ##34#to be mapped##34#</v>
      </c>
      <c r="G11" s="17" t="s">
        <v>26</v>
      </c>
      <c r="H11" s="12"/>
      <c r="I11" s="12"/>
      <c r="J11" s="12"/>
      <c r="K11" s="12"/>
      <c r="L11" s="12"/>
      <c r="M11" s="12"/>
      <c r="N11" s="12"/>
      <c r="O11" s="12"/>
    </row>
    <row r="12" spans="1:15" ht="44.25" x14ac:dyDescent="0.75">
      <c r="A12" s="18">
        <v>3</v>
      </c>
      <c r="B12" s="18" t="str">
        <f>Results!B10</f>
        <v>narrative.notes</v>
      </c>
      <c r="C12" s="18" t="s">
        <v>364</v>
      </c>
      <c r="E12" s="19" t="str">
        <f t="shared" si="0"/>
        <v>* narrative.notes -&gt; ##34#to be mapped##34#</v>
      </c>
      <c r="G12" s="17" t="s">
        <v>27</v>
      </c>
      <c r="H12" s="12"/>
      <c r="I12" s="12"/>
      <c r="J12" s="12"/>
      <c r="K12" s="12"/>
      <c r="L12" s="12"/>
      <c r="M12" s="12"/>
      <c r="N12" s="12"/>
      <c r="O12" s="12"/>
    </row>
    <row r="13" spans="1:15" x14ac:dyDescent="0.75">
      <c r="A13" s="18">
        <v>4</v>
      </c>
      <c r="B13" s="18" t="str">
        <f>Results!B11</f>
        <v>observation</v>
      </c>
      <c r="C13" s="18" t="s">
        <v>364</v>
      </c>
      <c r="E13" s="19" t="str">
        <f>IF(B13=0,"*  -&gt; ##34###34#",CONCATENATE("* ",B13," -&gt; ##34#",C13,"##34#"))</f>
        <v>* observation -&gt; ##34#to be mapped##34#</v>
      </c>
      <c r="G13" s="17" t="s">
        <v>28</v>
      </c>
      <c r="H13" s="12"/>
      <c r="I13" s="12"/>
      <c r="J13" s="12"/>
      <c r="K13" s="12"/>
      <c r="L13" s="12"/>
      <c r="M13" s="12"/>
      <c r="N13" s="12"/>
      <c r="O13" s="12"/>
    </row>
    <row r="14" spans="1:15" x14ac:dyDescent="0.75">
      <c r="A14" s="18">
        <v>5</v>
      </c>
      <c r="B14" s="18" t="str">
        <f>Results!B12</f>
        <v>observation.dateTime</v>
      </c>
      <c r="C14" s="18" t="s">
        <v>364</v>
      </c>
      <c r="E14" s="19" t="str">
        <f>IF(B14=0,"*  -&gt; ##34###34#",CONCATENATE("* ",B14," -&gt; ##34#",C14,"##34#"))</f>
        <v>* observation.dateTime -&gt; ##34#to be mapped##34#</v>
      </c>
      <c r="G14" s="17" t="s">
        <v>29</v>
      </c>
      <c r="H14" s="12"/>
      <c r="I14" s="12"/>
      <c r="J14" s="12"/>
      <c r="K14" s="12"/>
      <c r="L14" s="12"/>
      <c r="M14" s="12"/>
      <c r="N14" s="12"/>
      <c r="O14" s="12"/>
    </row>
    <row r="15" spans="1:15" ht="29.5" x14ac:dyDescent="0.75">
      <c r="A15" s="18">
        <v>6</v>
      </c>
      <c r="B15" s="18" t="str">
        <f>Results!B13</f>
        <v>observation.code</v>
      </c>
      <c r="C15" s="18" t="s">
        <v>364</v>
      </c>
      <c r="E15" s="19" t="str">
        <f t="shared" ref="E15:E31" si="1">IF(B15=0,"*  -&gt; ##34###34#",CONCATENATE("* ",B15," -&gt; ##34#",C15,"##34#"))</f>
        <v>* observation.code -&gt; ##34#to be mapped##34#</v>
      </c>
      <c r="G15" s="17" t="s">
        <v>30</v>
      </c>
      <c r="H15" s="12"/>
      <c r="I15" s="12"/>
      <c r="J15" s="12"/>
      <c r="K15" s="12"/>
      <c r="L15" s="12"/>
      <c r="M15" s="12"/>
      <c r="N15" s="12"/>
      <c r="O15" s="12"/>
    </row>
    <row r="16" spans="1:15" ht="29.5" x14ac:dyDescent="0.75">
      <c r="A16" s="18">
        <v>7</v>
      </c>
      <c r="B16" s="18" t="str">
        <f>Results!B14</f>
        <v>observation.code.name</v>
      </c>
      <c r="C16" s="18" t="s">
        <v>364</v>
      </c>
      <c r="E16" s="19" t="str">
        <f t="shared" si="1"/>
        <v>* observation.code.name -&gt; ##34#to be mapped##34#</v>
      </c>
      <c r="G16" s="17" t="s">
        <v>31</v>
      </c>
      <c r="H16" s="12"/>
      <c r="I16" s="12"/>
      <c r="J16" s="12"/>
      <c r="K16" s="12"/>
      <c r="L16" s="12"/>
      <c r="M16" s="12"/>
      <c r="N16" s="12"/>
      <c r="O16" s="12"/>
    </row>
    <row r="17" spans="1:7" ht="29.5" x14ac:dyDescent="0.75">
      <c r="A17" s="18">
        <v>8</v>
      </c>
      <c r="B17" s="18" t="str">
        <f>Results!B15</f>
        <v>observation.code.originalName</v>
      </c>
      <c r="C17" s="18" t="s">
        <v>364</v>
      </c>
      <c r="E17" s="19" t="str">
        <f t="shared" si="1"/>
        <v>* observation.code.originalName -&gt; ##34#to be mapped##34#</v>
      </c>
      <c r="G17" s="17" t="s">
        <v>32</v>
      </c>
    </row>
    <row r="18" spans="1:7" x14ac:dyDescent="0.75">
      <c r="A18" s="18">
        <v>9</v>
      </c>
      <c r="B18" s="18" t="str">
        <f>Results!B16</f>
        <v>observation.code.displayName</v>
      </c>
      <c r="C18" s="18" t="s">
        <v>364</v>
      </c>
      <c r="E18" s="19" t="str">
        <f t="shared" si="1"/>
        <v>* observation.code.displayName -&gt; ##34#to be mapped##34#</v>
      </c>
      <c r="G18" s="17" t="s">
        <v>33</v>
      </c>
    </row>
    <row r="19" spans="1:7" x14ac:dyDescent="0.75">
      <c r="A19" s="18">
        <v>10</v>
      </c>
      <c r="B19" s="18" t="str">
        <f>Results!B17</f>
        <v>observation.method</v>
      </c>
      <c r="C19" s="18" t="s">
        <v>364</v>
      </c>
      <c r="E19" s="19" t="str">
        <f t="shared" si="1"/>
        <v>* observation.method -&gt; ##34#to be mapped##34#</v>
      </c>
    </row>
    <row r="20" spans="1:7" x14ac:dyDescent="0.75">
      <c r="A20" s="18"/>
      <c r="B20" s="18" t="str">
        <f>Results!B18</f>
        <v>observation.device</v>
      </c>
      <c r="C20" s="18" t="s">
        <v>364</v>
      </c>
      <c r="E20" s="19" t="str">
        <f t="shared" si="1"/>
        <v>* observation.device -&gt; ##34#to be mapped##34#</v>
      </c>
    </row>
    <row r="21" spans="1:7" x14ac:dyDescent="0.75">
      <c r="B21" s="18" t="str">
        <f>Results!B19</f>
        <v>observation.order</v>
      </c>
      <c r="C21" s="18" t="s">
        <v>364</v>
      </c>
      <c r="E21" s="19" t="str">
        <f t="shared" si="1"/>
        <v>* observation.order -&gt; ##34#to be mapped##34#</v>
      </c>
    </row>
    <row r="22" spans="1:7" x14ac:dyDescent="0.75">
      <c r="B22" s="18" t="str">
        <f>Results!B20</f>
        <v>observation.performer</v>
      </c>
      <c r="C22" s="18" t="s">
        <v>364</v>
      </c>
      <c r="E22" s="19" t="str">
        <f t="shared" si="1"/>
        <v>* observation.performer -&gt; ##34#to be mapped##34#</v>
      </c>
    </row>
    <row r="23" spans="1:7" x14ac:dyDescent="0.75">
      <c r="B23" s="18" t="str">
        <f>Results!B21</f>
        <v>observation.reporter</v>
      </c>
      <c r="C23" s="18" t="s">
        <v>364</v>
      </c>
      <c r="E23" s="19" t="str">
        <f t="shared" si="1"/>
        <v>* observation.reporter -&gt; ##34#to be mapped##34#</v>
      </c>
    </row>
    <row r="24" spans="1:7" x14ac:dyDescent="0.75">
      <c r="B24" s="18" t="str">
        <f>Results!B22</f>
        <v>observation.result</v>
      </c>
      <c r="C24" s="18" t="s">
        <v>364</v>
      </c>
      <c r="E24" s="19" t="str">
        <f t="shared" si="1"/>
        <v>* observation.result -&gt; ##34#to be mapped##34#</v>
      </c>
    </row>
    <row r="25" spans="1:7" x14ac:dyDescent="0.75">
      <c r="B25" s="18" t="str">
        <f>Results!B23</f>
        <v>observation.interpretation</v>
      </c>
      <c r="C25" s="18" t="s">
        <v>364</v>
      </c>
      <c r="E25" s="19" t="str">
        <f t="shared" si="1"/>
        <v>* observation.interpretation -&gt; ##34#to be mapped##34#</v>
      </c>
    </row>
    <row r="26" spans="1:7" x14ac:dyDescent="0.75">
      <c r="B26" s="18" t="str">
        <f>Results!B24</f>
        <v>observation.description</v>
      </c>
      <c r="C26" s="18" t="s">
        <v>364</v>
      </c>
      <c r="E26" s="19" t="str">
        <f t="shared" si="1"/>
        <v>* observation.description -&gt; ##34#to be mapped##34#</v>
      </c>
    </row>
    <row r="27" spans="1:7" x14ac:dyDescent="0.75">
      <c r="B27" s="18" t="str">
        <f>Results!B25</f>
        <v>observation.accreditationStatus</v>
      </c>
      <c r="C27" s="18" t="s">
        <v>364</v>
      </c>
      <c r="E27" s="19" t="str">
        <f t="shared" si="1"/>
        <v>* observation.accreditationStatus -&gt; ##34#to be mapped##34#</v>
      </c>
    </row>
    <row r="28" spans="1:7" x14ac:dyDescent="0.75">
      <c r="B28" s="18">
        <f>Results!B26</f>
        <v>0</v>
      </c>
      <c r="C28" s="18" t="s">
        <v>364</v>
      </c>
      <c r="E28" s="19" t="str">
        <f t="shared" si="1"/>
        <v>*  -&gt; ##34###34#</v>
      </c>
    </row>
    <row r="29" spans="1:7" x14ac:dyDescent="0.75">
      <c r="B29" s="18">
        <f>Results!B27</f>
        <v>0</v>
      </c>
      <c r="E29" s="19" t="str">
        <f t="shared" si="1"/>
        <v>*  -&gt; ##34###34#</v>
      </c>
    </row>
    <row r="30" spans="1:7" x14ac:dyDescent="0.75">
      <c r="B30" s="18">
        <f>Results!B28</f>
        <v>0</v>
      </c>
      <c r="E30" s="19" t="str">
        <f t="shared" si="1"/>
        <v>*  -&gt; ##34###34#</v>
      </c>
    </row>
    <row r="31" spans="1:7" x14ac:dyDescent="0.75">
      <c r="B31" s="18">
        <f>Results!B29</f>
        <v>0</v>
      </c>
      <c r="E31" s="19" t="str">
        <f t="shared" si="1"/>
        <v>*  -&gt; ##34###34#</v>
      </c>
    </row>
    <row r="32" spans="1:7" x14ac:dyDescent="0.75">
      <c r="B32" s="18">
        <f>Results!B30</f>
        <v>0</v>
      </c>
      <c r="E32" s="19"/>
    </row>
    <row r="33" spans="2:2" x14ac:dyDescent="0.75">
      <c r="B33" s="18">
        <f>Results!B31</f>
        <v>0</v>
      </c>
    </row>
    <row r="34" spans="2:2" x14ac:dyDescent="0.75">
      <c r="B34" s="18">
        <f>Results!B32</f>
        <v>0</v>
      </c>
    </row>
    <row r="35" spans="2:2" x14ac:dyDescent="0.75">
      <c r="B35" s="18">
        <f>Results!B33</f>
        <v>0</v>
      </c>
    </row>
    <row r="36" spans="2:2" x14ac:dyDescent="0.75">
      <c r="B36" s="18">
        <f>Results!B34</f>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1"/>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Results!I1</f>
        <v>// -------------------------------------------------------------------------------</v>
      </c>
    </row>
    <row r="2" spans="3:7" ht="16.75" thickBot="1" x14ac:dyDescent="0.9">
      <c r="C2" s="41" t="str">
        <f>Results!I2</f>
        <v>//  Logical Model</v>
      </c>
      <c r="G2" s="68" t="s">
        <v>506</v>
      </c>
    </row>
    <row r="3" spans="3:7" x14ac:dyDescent="0.75">
      <c r="C3" s="41" t="str">
        <f>Results!I3</f>
        <v>// -------------------------------------------------------------------------------</v>
      </c>
      <c r="G3" s="12"/>
    </row>
    <row r="4" spans="3:7" x14ac:dyDescent="0.75">
      <c r="C4" s="33" t="str">
        <f>Results!I4</f>
        <v>Logical: ResultLabEhn</v>
      </c>
    </row>
    <row r="5" spans="3:7" x14ac:dyDescent="0.75">
      <c r="C5" s="33" t="str">
        <f>Results!I5</f>
        <v>Id: Result</v>
      </c>
    </row>
    <row r="6" spans="3:7" x14ac:dyDescent="0.75">
      <c r="C6" s="33" t="str">
        <f>Results!I6</f>
        <v>Title: ##34#Results data elements (A.5)##34#</v>
      </c>
    </row>
    <row r="7" spans="3:7" x14ac:dyDescent="0.75">
      <c r="C7" s="33" t="str">
        <f>Results!I7</f>
        <v>Description:  ##334#A.5 Results data elements ##334#</v>
      </c>
    </row>
    <row r="8" spans="3:7" ht="29.5" x14ac:dyDescent="0.75">
      <c r="C8" s="19" t="str">
        <f>IF(Results!I8="*  ..  ##34###34# ##334###334#","//--- END",Results!I8)</f>
        <v>* narrative 0..1 BackboneElement ##34#A.5.1 Laboratory report narrative  ##34# ##334#A.5.1 Laboratory report narrative  ##334#</v>
      </c>
    </row>
    <row r="9" spans="3:7" ht="29.5" x14ac:dyDescent="0.75">
      <c r="C9" s="19" t="str">
        <f>IF(Results!I9="*  ..  ##34###34# ##334###334#","//--- END",Results!I9)</f>
        <v>* narrative.report 0..* Narrative ##34#A.5.1.1 Narrative report##34# ##334#Entire report (textual summary inside the laboratory result report document) as issued by the laboratory.  - Preferred system(s): ##334#</v>
      </c>
    </row>
    <row r="10" spans="3:7" ht="29.5" x14ac:dyDescent="0.75">
      <c r="C10" s="19" t="str">
        <f>IF(Results!I10="*  ..  ##34###34# ##334###334#","//--- END",Results!I10)</f>
        <v>* narrative.notes 0..* Narrative ##34#A.5.1.2 Comments, interpretation and recommendations##34# ##334#Comments, such as a textual interpretation or advice accompanying the result report, for example. - Preferred system(s): ##334#</v>
      </c>
      <c r="E10" s="16" t="s">
        <v>312</v>
      </c>
    </row>
    <row r="11" spans="3:7" ht="29.5" x14ac:dyDescent="0.75">
      <c r="C11" s="19" t="str">
        <f>IF(Results!I11="*  ..  ##34###34# ##334###334#","//--- END",Results!I11)</f>
        <v>* observation 0..* BackboneElement ##34#A.5.2 Observation details##34# ##334#A.5.2 Observation details (report could consist of multiple observations) ##334#</v>
      </c>
    </row>
    <row r="12" spans="3:7" ht="29.5" x14ac:dyDescent="0.75">
      <c r="C12" s="19" t="str">
        <f>IF(Results!I12="*  ..  ##34###34# ##334###334#","//--- END",Results!I12)</f>
        <v>* observation.dateTime 0..* CodeableConcept ##34#A.5.2.1 Observation date##34# ##334#Date and time of the observation - Preferred system(s): ISO 8601##334#</v>
      </c>
    </row>
    <row r="13" spans="3:7" ht="29.5" x14ac:dyDescent="0.75">
      <c r="C13" s="19"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9" t="str">
        <f>IF(Results!I14="*  ..  ##34###34# ##334###334#","//--- END",Results!I14)</f>
        <v>* observation.code.name 0..* string ##34#A.5.2.3.1 Observation name##34# ##334#Full name of the observation according to the used test coding standard. - Preferred system(s): ##334#</v>
      </c>
    </row>
    <row r="15" spans="3:7" ht="29.5" x14ac:dyDescent="0.75">
      <c r="C15" s="19" t="str">
        <f>IF(Results!I15="*  ..  ##34###34# ##334###334#","//--- END",Results!I15)</f>
        <v>* observation.code.originalName 0..* string ##34#A.5.2.3.2 Observation original name##34# ##334#Original (conventional) name of the observation as used by the laboratory - Preferred system(s): ##334#</v>
      </c>
    </row>
    <row r="16" spans="3:7" ht="29.5" x14ac:dyDescent="0.75">
      <c r="C16" s="19" t="str">
        <f>IF(Results!I16="*  ..  ##34###34# ##334###334#","//--- END",Results!I16)</f>
        <v>* observation.code.displayName 0..* string ##34#A.5.2.3.3 Observation display name##34# ##334#Simplified (short name of the observation) for display. - Preferred system(s): ##334#</v>
      </c>
    </row>
    <row r="17" spans="3:3" ht="29.5" x14ac:dyDescent="0.75">
      <c r="C17" s="19" t="str">
        <f>IF(Results!I17="*  ..  ##34###34# ##334###334#","//--- END",Results!I17)</f>
        <v>* observation.method 0..* CodeableConcept ##34#A.5.2.4 Observation method##34# ##334#Observation method (measurement principle) to obtain the result.
- Preferred system(s): SNOMED CT##334#</v>
      </c>
    </row>
    <row r="18" spans="3:3" ht="29.5" x14ac:dyDescent="0.75">
      <c r="C18" s="19"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9" t="str">
        <f>IF(Results!I19="*  ..  ##34###34# ##334###334#","//--- END",Results!I19)</f>
        <v>* observation.order 0..* BackboneElement ##34#A.5.2.8 Order##34# ##334#Identifies order and order placer this observation belongs to.##334#</v>
      </c>
    </row>
    <row r="20" spans="3:3" ht="44.25" x14ac:dyDescent="0.75">
      <c r="C20" s="19"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 Preferred system(s): ##334#</v>
      </c>
    </row>
    <row r="21" spans="3:3" ht="29.5" x14ac:dyDescent="0.75">
      <c r="C21" s="19" t="str">
        <f>IF(Results!I21="*  ..  ##34###34# ##334###334#","//--- END",Results!I21)</f>
        <v>* observation.reporter 0..* BackboneElement ##34#A.5.2.10 Reporter##34# ##334#With certain observation results, e.g. there may also be an interpreter or a person responsible for validation. - Preferred system(s): ##334#</v>
      </c>
    </row>
    <row r="22" spans="3:3" ht="73.75" x14ac:dyDescent="0.75">
      <c r="C22" s="19"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29.5" x14ac:dyDescent="0.75">
      <c r="C23" s="19"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9" t="str">
        <f>IF(Results!I24="*  ..  ##34###34# ##334###334#","//--- END",Results!I24)</f>
        <v>* observation.description 0..* Narrative ##34#A.5.2.13 Result description##34# ##334#Comments and narrative representation of the observation result and findings.##334#</v>
      </c>
    </row>
    <row r="25" spans="3:3" ht="29.5" x14ac:dyDescent="0.75">
      <c r="C25" s="19" t="str">
        <f>IF(Results!I25="*  ..  ##34###34# ##334###334#","//--- END",Results!I25)</f>
        <v>* observation.accreditationStatus 0..* BackboneElement ##34#A.5.2.14 Accreditation status##34# ##334#Accreditation status of the laboratory for the particular observation.##334#</v>
      </c>
    </row>
    <row r="26" spans="3:3" ht="29.5" x14ac:dyDescent="0.75">
      <c r="C26" s="19" t="str">
        <f>IF(Results!I26="*  ..  ##34###34# ##334###334#","//--- END",Results!I26)</f>
        <v>//--- END</v>
      </c>
    </row>
    <row r="27" spans="3:3" ht="29.5" x14ac:dyDescent="0.75">
      <c r="C27" s="19" t="str">
        <f>IF(Results!I27="*  ..  ##34###34# ##334###334#","//--- END",Results!I27)</f>
        <v>//--- END</v>
      </c>
    </row>
    <row r="28" spans="3:3" x14ac:dyDescent="0.75">
      <c r="C28" s="19" t="str">
        <f>IF(Results!I28="*  ..  ##34###34# ##334###334#","//--- END",Results!I28)</f>
        <v>//--- END</v>
      </c>
    </row>
    <row r="31" spans="3:3" x14ac:dyDescent="0.75">
      <c r="C31" s="40" t="str">
        <f>'Results-Map-1'!E1</f>
        <v>// -------------------------------------------------------------------------------</v>
      </c>
    </row>
    <row r="32" spans="3:3" x14ac:dyDescent="0.75">
      <c r="C32" s="41" t="str">
        <f>'Results-Map-1'!E2</f>
        <v>//  Map to FHIR R4</v>
      </c>
    </row>
    <row r="33" spans="3:3" x14ac:dyDescent="0.75">
      <c r="C33" s="41" t="str">
        <f>'Results-Map-1'!E3</f>
        <v>// -------------------------------------------------------------------------------</v>
      </c>
    </row>
    <row r="34" spans="3:3" x14ac:dyDescent="0.75">
      <c r="C34" s="19" t="str">
        <f>'Results-Map-1'!E4</f>
        <v>Mapping: eHNLabResult2Fhir</v>
      </c>
    </row>
    <row r="35" spans="3:3" x14ac:dyDescent="0.75">
      <c r="C35" s="19" t="str">
        <f>'Results-Map-1'!E5</f>
        <v>Id: fhir</v>
      </c>
    </row>
    <row r="36" spans="3:3" x14ac:dyDescent="0.75">
      <c r="C36" s="19" t="str">
        <f>'Results-Map-1'!E6</f>
        <v>Title: ##34#eHN Lab Result model to FHIR R4 Map##34#</v>
      </c>
    </row>
    <row r="37" spans="3:3" x14ac:dyDescent="0.75">
      <c r="C37" s="19" t="str">
        <f>'Results-Map-1'!E7</f>
        <v>Source: Result</v>
      </c>
    </row>
    <row r="38" spans="3:3" x14ac:dyDescent="0.75">
      <c r="C38" s="19" t="str">
        <f>'Results-Map-1'!E8</f>
        <v>Target: ##34#hl7.org/fhir/r4##34#</v>
      </c>
    </row>
    <row r="40" spans="3:3" x14ac:dyDescent="0.75">
      <c r="C40" s="5" t="str">
        <f>'Results-Map-1'!E9</f>
        <v>* -&gt; ##34#to be mapped##34#</v>
      </c>
    </row>
    <row r="41" spans="3:3" x14ac:dyDescent="0.75">
      <c r="C41" s="19" t="str">
        <f>IF('Results-Map-1'!E10="*  -&gt; ##34###34#","// --END",'Results-Map-1'!E10)</f>
        <v>* narrative -&gt; ##34#to be mapped##34#</v>
      </c>
    </row>
    <row r="42" spans="3:3" x14ac:dyDescent="0.75">
      <c r="C42" s="19" t="str">
        <f>IF('Results-Map-1'!E11="*  -&gt; ##34###34#","// --END",'Results-Map-1'!E11)</f>
        <v>* narrative.report -&gt; ##34#to be mapped##34#</v>
      </c>
    </row>
    <row r="43" spans="3:3" x14ac:dyDescent="0.75">
      <c r="C43" s="19" t="str">
        <f>IF('Results-Map-1'!E12="*  -&gt; ##34###34#","// --END",'Results-Map-1'!E12)</f>
        <v>* narrative.notes -&gt; ##34#to be mapped##34#</v>
      </c>
    </row>
    <row r="44" spans="3:3" x14ac:dyDescent="0.75">
      <c r="C44" s="19" t="str">
        <f>IF('Results-Map-1'!E13="*  -&gt; ##34###34#","// --END",'Results-Map-1'!E13)</f>
        <v>* observation -&gt; ##34#to be mapped##34#</v>
      </c>
    </row>
    <row r="45" spans="3:3" x14ac:dyDescent="0.75">
      <c r="C45" s="19" t="str">
        <f>IF('Results-Map-1'!E14="*  -&gt; ##34###34#","// --END",'Results-Map-1'!E14)</f>
        <v>* observation.dateTime -&gt; ##34#to be mapped##34#</v>
      </c>
    </row>
    <row r="46" spans="3:3" x14ac:dyDescent="0.75">
      <c r="C46" s="19" t="str">
        <f>IF('Results-Map-1'!E15="*  -&gt; ##34###34#","// --END",'Results-Map-1'!E15)</f>
        <v>* observation.code -&gt; ##34#to be mapped##34#</v>
      </c>
    </row>
    <row r="47" spans="3:3" x14ac:dyDescent="0.75">
      <c r="C47" s="19" t="str">
        <f>IF('Results-Map-1'!E16="*  -&gt; ##34###34#","// --END",'Results-Map-1'!E16)</f>
        <v>* observation.code.name -&gt; ##34#to be mapped##34#</v>
      </c>
    </row>
    <row r="48" spans="3:3" x14ac:dyDescent="0.75">
      <c r="C48" s="19" t="str">
        <f>IF('Results-Map-1'!E17="*  -&gt; ##34###34#","// --END",'Results-Map-1'!E17)</f>
        <v>* observation.code.originalName -&gt; ##34#to be mapped##34#</v>
      </c>
    </row>
    <row r="49" spans="3:7" x14ac:dyDescent="0.75">
      <c r="C49" s="19" t="str">
        <f>IF('Results-Map-1'!E18="*  -&gt; ##34###34#","// --END",'Results-Map-1'!E18)</f>
        <v>* observation.code.displayName -&gt; ##34#to be mapped##34#</v>
      </c>
      <c r="G49" s="12"/>
    </row>
    <row r="50" spans="3:7" x14ac:dyDescent="0.75">
      <c r="C50" s="19" t="str">
        <f>IF('Results-Map-1'!E19="*  -&gt; ##34###34#","// --END",'Results-Map-1'!E19)</f>
        <v>* observation.method -&gt; ##34#to be mapped##34#</v>
      </c>
    </row>
    <row r="51" spans="3:7" x14ac:dyDescent="0.75">
      <c r="C51" s="19" t="str">
        <f>IF('Results-Map-1'!E20="*  -&gt; ##34###34#","// --END",'Results-Map-1'!E20)</f>
        <v>* observation.device -&gt; ##34#to be mapped##34#</v>
      </c>
    </row>
    <row r="52" spans="3:7" x14ac:dyDescent="0.75">
      <c r="C52" s="19" t="str">
        <f>IF('Results-Map-1'!E21="*  -&gt; ##34###34#","// --END",'Results-Map-1'!E21)</f>
        <v>* observation.order -&gt; ##34#to be mapped##34#</v>
      </c>
    </row>
    <row r="53" spans="3:7" x14ac:dyDescent="0.75">
      <c r="C53" s="19" t="str">
        <f>IF('Results-Map-1'!E22="*  -&gt; ##34###34#","// --END",'Results-Map-1'!E22)</f>
        <v>* observation.performer -&gt; ##34#to be mapped##34#</v>
      </c>
    </row>
    <row r="54" spans="3:7" x14ac:dyDescent="0.75">
      <c r="C54" s="19" t="str">
        <f>IF('Results-Map-1'!E23="*  -&gt; ##34###34#","// --END",'Results-Map-1'!E23)</f>
        <v>* observation.reporter -&gt; ##34#to be mapped##34#</v>
      </c>
    </row>
    <row r="55" spans="3:7" x14ac:dyDescent="0.75">
      <c r="C55" s="19" t="str">
        <f>IF('Results-Map-1'!E24="*  -&gt; ##34###34#","// --END",'Results-Map-1'!E24)</f>
        <v>* observation.result -&gt; ##34#to be mapped##34#</v>
      </c>
    </row>
    <row r="56" spans="3:7" x14ac:dyDescent="0.75">
      <c r="C56" s="19" t="str">
        <f>IF('Results-Map-1'!E25="*  -&gt; ##34###34#","// --END",'Results-Map-1'!E25)</f>
        <v>* observation.interpretation -&gt; ##34#to be mapped##34#</v>
      </c>
    </row>
    <row r="57" spans="3:7" x14ac:dyDescent="0.75">
      <c r="C57" s="19" t="str">
        <f>IF('Results-Map-1'!E26="*  -&gt; ##34###34#","// --END",'Results-Map-1'!E26)</f>
        <v>* observation.description -&gt; ##34#to be mapped##34#</v>
      </c>
    </row>
    <row r="58" spans="3:7" x14ac:dyDescent="0.75">
      <c r="C58" s="19" t="str">
        <f>IF('Results-Map-1'!E27="*  -&gt; ##34###34#","// --END",'Results-Map-1'!E27)</f>
        <v>* observation.accreditationStatus -&gt; ##34#to be mapped##34#</v>
      </c>
    </row>
    <row r="59" spans="3:7" x14ac:dyDescent="0.75">
      <c r="C59" s="19" t="str">
        <f>IF('Results-Map-1'!E28="*  -&gt; ##34###34#","// --END",'Results-Map-1'!E28)</f>
        <v>// --END</v>
      </c>
    </row>
    <row r="60" spans="3:7" x14ac:dyDescent="0.75">
      <c r="C60" s="19" t="str">
        <f>IF('Results-Map-1'!E29="*  -&gt; ##34###34#","// --END",'Results-Map-1'!E29)</f>
        <v>// --END</v>
      </c>
    </row>
    <row r="61" spans="3:7" x14ac:dyDescent="0.75">
      <c r="C61" s="19" t="str">
        <f>IF('Results-Map-1'!E30="*  -&gt; ##34###34#","// --END",'Results-Map-1'!E30)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34</vt:i4>
      </vt:variant>
    </vt:vector>
  </HeadingPairs>
  <TitlesOfParts>
    <vt:vector size="34" baseType="lpstr">
      <vt:lpstr>Header</vt:lpstr>
      <vt:lpstr>Body</vt:lpstr>
      <vt:lpstr>Common</vt:lpstr>
      <vt:lpstr>Report</vt:lpstr>
      <vt:lpstr>Report-Map-1</vt:lpstr>
      <vt:lpstr>Report-fsh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Foglio1</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2022-11-17T16:26:56Z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